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remy-\OneDrive\Bureau\"/>
    </mc:Choice>
  </mc:AlternateContent>
  <xr:revisionPtr revIDLastSave="0" documentId="13_ncr:1_{8AF044D4-79A3-41DF-AB01-D0465C5201C4}" xr6:coauthVersionLast="47" xr6:coauthVersionMax="47" xr10:uidLastSave="{00000000-0000-0000-0000-000000000000}"/>
  <bookViews>
    <workbookView xWindow="-120" yWindow="-120" windowWidth="29040" windowHeight="15840" xr2:uid="{00000000-000D-0000-FFFF-FFFF00000000}"/>
  </bookViews>
  <sheets>
    <sheet name="readme - investments" sheetId="2" r:id="rId1"/>
    <sheet name="Comparison of Investments" sheetId="1" r:id="rId2"/>
    <sheet name="readme - portfolio construction" sheetId="3" r:id="rId3"/>
    <sheet name="Stock Data" sheetId="4" r:id="rId4"/>
    <sheet name="Equally Weighted" sheetId="5" r:id="rId5"/>
    <sheet name="Build Your Own Portfolio" sheetId="6" r:id="rId6"/>
    <sheet name="Minimum Variance Portfolio" sheetId="7" r:id="rId7"/>
    <sheet name="Efficient Frontier" sheetId="8" r:id="rId8"/>
  </sheets>
  <externalReferences>
    <externalReference r:id="rId9"/>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 i="4" l="1"/>
  <c r="AA1" i="4" s="1"/>
  <c r="L1" i="4"/>
  <c r="M1" i="4"/>
  <c r="N1" i="4"/>
  <c r="O1" i="4"/>
  <c r="P1" i="4"/>
  <c r="V1" i="4"/>
  <c r="B2" i="7" s="1" a="1"/>
  <c r="A7" i="7" s="1"/>
  <c r="W1" i="4"/>
  <c r="X1" i="4"/>
  <c r="Y1" i="4"/>
  <c r="Z1" i="4"/>
  <c r="I3" i="8"/>
  <c r="D6" i="8"/>
  <c r="I6" i="8"/>
  <c r="I9" i="8"/>
  <c r="D20" i="8"/>
  <c r="D14" i="8"/>
  <c r="D9" i="8"/>
  <c r="D3" i="8"/>
  <c r="D17" i="8"/>
  <c r="H1" i="5" l="1" a="1"/>
  <c r="H1" i="5" s="1"/>
  <c r="H1" i="6" a="1"/>
  <c r="H1" i="6" s="1"/>
  <c r="A4" i="7"/>
  <c r="H27" i="7"/>
  <c r="A6" i="7"/>
  <c r="B2" i="7"/>
  <c r="H26" i="7"/>
  <c r="H24" i="7"/>
  <c r="A5" i="7"/>
  <c r="H25" i="7"/>
  <c r="Q1" i="4"/>
  <c r="V13" i="4"/>
  <c r="W13" i="4"/>
  <c r="X13" i="4"/>
  <c r="Y13" i="4"/>
  <c r="Z13" i="4"/>
  <c r="AC13" i="4"/>
  <c r="B2" i="3"/>
  <c r="G2" i="4" a="1"/>
  <c r="A3" i="7" l="1"/>
  <c r="H23" i="7"/>
  <c r="G2" i="4"/>
  <c r="Q2" i="4" s="1"/>
  <c r="Q6" i="4"/>
  <c r="Q10" i="4"/>
  <c r="Q15" i="4"/>
  <c r="Q3" i="4"/>
  <c r="Q5" i="4"/>
  <c r="Q9" i="4"/>
  <c r="Q13" i="4"/>
  <c r="Q16" i="4"/>
  <c r="Q20" i="4"/>
  <c r="Q24" i="4"/>
  <c r="Q33" i="4"/>
  <c r="Q42" i="4"/>
  <c r="Q46" i="4"/>
  <c r="Q50" i="4"/>
  <c r="Q54" i="4"/>
  <c r="Q58" i="4"/>
  <c r="Q62" i="4"/>
  <c r="Q66" i="4"/>
  <c r="Q70" i="4"/>
  <c r="Q74" i="4"/>
  <c r="Q78" i="4"/>
  <c r="Q82" i="4"/>
  <c r="Q86" i="4"/>
  <c r="Q90" i="4"/>
  <c r="Q4" i="4"/>
  <c r="Q8" i="4"/>
  <c r="Q12" i="4"/>
  <c r="Q7" i="4"/>
  <c r="Q11" i="4"/>
  <c r="Q14" i="4"/>
  <c r="Q18" i="4"/>
  <c r="Q25" i="4"/>
  <c r="Q27" i="4"/>
  <c r="Q36" i="4"/>
  <c r="Q22" i="4"/>
  <c r="Q29" i="4"/>
  <c r="Q57" i="4"/>
  <c r="Q60" i="4"/>
  <c r="Q63" i="4"/>
  <c r="Q89" i="4"/>
  <c r="Q92" i="4"/>
  <c r="Q96" i="4"/>
  <c r="Q100" i="4"/>
  <c r="Q104" i="4"/>
  <c r="Q108" i="4"/>
  <c r="Q112" i="4"/>
  <c r="Q116" i="4"/>
  <c r="Q120" i="4"/>
  <c r="Q124" i="4"/>
  <c r="Q128" i="4"/>
  <c r="Q19" i="4"/>
  <c r="Q26" i="4"/>
  <c r="Q32" i="4"/>
  <c r="Q35" i="4"/>
  <c r="Q23" i="4"/>
  <c r="Q28" i="4"/>
  <c r="Q38" i="4"/>
  <c r="Q31" i="4"/>
  <c r="Q34" i="4"/>
  <c r="Q17" i="4"/>
  <c r="Q37" i="4"/>
  <c r="Q21" i="4"/>
  <c r="Q30" i="4"/>
  <c r="Q39" i="4"/>
  <c r="Q43" i="4"/>
  <c r="Q45" i="4"/>
  <c r="Q64" i="4"/>
  <c r="Q71" i="4"/>
  <c r="Q85" i="4"/>
  <c r="Q95" i="4"/>
  <c r="Q98" i="4"/>
  <c r="Q101" i="4"/>
  <c r="Q127" i="4"/>
  <c r="Q130" i="4"/>
  <c r="Q134" i="4"/>
  <c r="Q138" i="4"/>
  <c r="Q52" i="4"/>
  <c r="Q59" i="4"/>
  <c r="Q73" i="4"/>
  <c r="Q80" i="4"/>
  <c r="Q115" i="4"/>
  <c r="Q118" i="4"/>
  <c r="Q121" i="4"/>
  <c r="Q49" i="4"/>
  <c r="Q56" i="4"/>
  <c r="Q75" i="4"/>
  <c r="Q77" i="4"/>
  <c r="Q94" i="4"/>
  <c r="Q97" i="4"/>
  <c r="Q123" i="4"/>
  <c r="Q126" i="4"/>
  <c r="Q129" i="4"/>
  <c r="Q53" i="4"/>
  <c r="Q72" i="4"/>
  <c r="Q79" i="4"/>
  <c r="Q99" i="4"/>
  <c r="Q102" i="4"/>
  <c r="Q105" i="4"/>
  <c r="Q41" i="4"/>
  <c r="Q48" i="4"/>
  <c r="Q67" i="4"/>
  <c r="Q81" i="4"/>
  <c r="Q88" i="4"/>
  <c r="Q93" i="4"/>
  <c r="Q119" i="4"/>
  <c r="Q122" i="4"/>
  <c r="Q125" i="4"/>
  <c r="Q131" i="4"/>
  <c r="Q135" i="4"/>
  <c r="Q139" i="4"/>
  <c r="Q143" i="4"/>
  <c r="Q147" i="4"/>
  <c r="Q151" i="4"/>
  <c r="Q155" i="4"/>
  <c r="Q159" i="4"/>
  <c r="Q163" i="4"/>
  <c r="Q167" i="4"/>
  <c r="Q55" i="4"/>
  <c r="Q69" i="4"/>
  <c r="Q76" i="4"/>
  <c r="Q83" i="4"/>
  <c r="Q107" i="4"/>
  <c r="Q110" i="4"/>
  <c r="Q113" i="4"/>
  <c r="Q103" i="4"/>
  <c r="Q109" i="4"/>
  <c r="Q133" i="4"/>
  <c r="Q146" i="4"/>
  <c r="Q153" i="4"/>
  <c r="Q160" i="4"/>
  <c r="Q173" i="4"/>
  <c r="Q177" i="4"/>
  <c r="Q181" i="4"/>
  <c r="Q185" i="4"/>
  <c r="Q189" i="4"/>
  <c r="Q193" i="4"/>
  <c r="Q197" i="4"/>
  <c r="Q201" i="4"/>
  <c r="Q205" i="4"/>
  <c r="Q209" i="4"/>
  <c r="Q213" i="4"/>
  <c r="Q217" i="4"/>
  <c r="Q221" i="4"/>
  <c r="Q225" i="4"/>
  <c r="Q229" i="4"/>
  <c r="Q233" i="4"/>
  <c r="Q237" i="4"/>
  <c r="Q241" i="4"/>
  <c r="Q245" i="4"/>
  <c r="Q249" i="4"/>
  <c r="Q84" i="4"/>
  <c r="Q91" i="4"/>
  <c r="Q150" i="4"/>
  <c r="Q157" i="4"/>
  <c r="Q164" i="4"/>
  <c r="Q169" i="4"/>
  <c r="Q154" i="4"/>
  <c r="Q161" i="4"/>
  <c r="Q172" i="4"/>
  <c r="Q176" i="4"/>
  <c r="Q180" i="4"/>
  <c r="Q184" i="4"/>
  <c r="Q188" i="4"/>
  <c r="Q192" i="4"/>
  <c r="Q196" i="4"/>
  <c r="Q200" i="4"/>
  <c r="Q204" i="4"/>
  <c r="Q208" i="4"/>
  <c r="Q212" i="4"/>
  <c r="Q216" i="4"/>
  <c r="Q220" i="4"/>
  <c r="Q224" i="4"/>
  <c r="Q228" i="4"/>
  <c r="Q232" i="4"/>
  <c r="Q236" i="4"/>
  <c r="Q240" i="4"/>
  <c r="Q244" i="4"/>
  <c r="Q248" i="4"/>
  <c r="Q44" i="4"/>
  <c r="Q51" i="4"/>
  <c r="Q65" i="4"/>
  <c r="Q111" i="4"/>
  <c r="Q117" i="4"/>
  <c r="Q140" i="4"/>
  <c r="Q158" i="4"/>
  <c r="Q165" i="4"/>
  <c r="Q168" i="4"/>
  <c r="Q87" i="4"/>
  <c r="Q106" i="4"/>
  <c r="Q144" i="4"/>
  <c r="Q162" i="4"/>
  <c r="Q171" i="4"/>
  <c r="Q175" i="4"/>
  <c r="Q179" i="4"/>
  <c r="Q183" i="4"/>
  <c r="Q187" i="4"/>
  <c r="Q191" i="4"/>
  <c r="Q195" i="4"/>
  <c r="Q199" i="4"/>
  <c r="Q203" i="4"/>
  <c r="Q207" i="4"/>
  <c r="Q211" i="4"/>
  <c r="Q215" i="4"/>
  <c r="Q219" i="4"/>
  <c r="Q223" i="4"/>
  <c r="Q227" i="4"/>
  <c r="Q231" i="4"/>
  <c r="Q235" i="4"/>
  <c r="Q239" i="4"/>
  <c r="Q243" i="4"/>
  <c r="Q247" i="4"/>
  <c r="Q136" i="4"/>
  <c r="Q141" i="4"/>
  <c r="Q148" i="4"/>
  <c r="Q166" i="4"/>
  <c r="Q40" i="4"/>
  <c r="Q47" i="4"/>
  <c r="Q61" i="4"/>
  <c r="Q68" i="4"/>
  <c r="Q137" i="4"/>
  <c r="Q145" i="4"/>
  <c r="Q152" i="4"/>
  <c r="Q170" i="4"/>
  <c r="Q174" i="4"/>
  <c r="Q178" i="4"/>
  <c r="Q182" i="4"/>
  <c r="Q186" i="4"/>
  <c r="Q190" i="4"/>
  <c r="Q194" i="4"/>
  <c r="Q198" i="4"/>
  <c r="Q202" i="4"/>
  <c r="Q206" i="4"/>
  <c r="Q210" i="4"/>
  <c r="Q214" i="4"/>
  <c r="Q218" i="4"/>
  <c r="Q222" i="4"/>
  <c r="Q226" i="4"/>
  <c r="Q230" i="4"/>
  <c r="Q234" i="4"/>
  <c r="Q238" i="4"/>
  <c r="Q242" i="4"/>
  <c r="Q246" i="4"/>
  <c r="Q250" i="4"/>
  <c r="Q149" i="4"/>
  <c r="Q253" i="4"/>
  <c r="Q114" i="4"/>
  <c r="Q156" i="4"/>
  <c r="Q252" i="4"/>
  <c r="Q132" i="4"/>
  <c r="Q251" i="4"/>
  <c r="Q254" i="4"/>
  <c r="Q142" i="4"/>
  <c r="F2" i="4" a="1"/>
  <c r="E2" i="4" a="1"/>
  <c r="C2" i="4" a="1"/>
  <c r="B2" i="4" a="1"/>
  <c r="D2" i="4" a="1"/>
  <c r="P17" i="4" l="1"/>
  <c r="P20" i="4"/>
  <c r="P7" i="4"/>
  <c r="P10" i="4"/>
  <c r="P54" i="4"/>
  <c r="P34" i="4"/>
  <c r="P73" i="4"/>
  <c r="P47" i="4"/>
  <c r="P112" i="4"/>
  <c r="P161" i="4"/>
  <c r="P111" i="4"/>
  <c r="P148" i="4"/>
  <c r="P60" i="4"/>
  <c r="P122" i="4"/>
  <c r="P151" i="4"/>
  <c r="P76" i="4"/>
  <c r="P64" i="4"/>
  <c r="P127" i="4"/>
  <c r="P158" i="4"/>
  <c r="P172" i="4"/>
  <c r="P204" i="4"/>
  <c r="P21" i="4"/>
  <c r="P24" i="4"/>
  <c r="P11" i="4"/>
  <c r="P29" i="4"/>
  <c r="P77" i="4"/>
  <c r="P37" i="4"/>
  <c r="P78" i="4"/>
  <c r="P61" i="4"/>
  <c r="P133" i="4"/>
  <c r="P165" i="4"/>
  <c r="P114" i="4"/>
  <c r="P152" i="4"/>
  <c r="P67" i="4"/>
  <c r="P125" i="4"/>
  <c r="P155" i="4"/>
  <c r="P107" i="4"/>
  <c r="P71" i="4"/>
  <c r="P130" i="4"/>
  <c r="P162" i="4"/>
  <c r="P176" i="4"/>
  <c r="P208" i="4"/>
  <c r="P240" i="4"/>
  <c r="P99" i="4"/>
  <c r="P195" i="4"/>
  <c r="P227" i="4"/>
  <c r="P53" i="4"/>
  <c r="P198" i="4"/>
  <c r="P230" i="4"/>
  <c r="P25" i="4"/>
  <c r="P4" i="4"/>
  <c r="P14" i="4"/>
  <c r="P32" i="4"/>
  <c r="P80" i="4"/>
  <c r="P30" i="4"/>
  <c r="P92" i="4"/>
  <c r="P66" i="4"/>
  <c r="P137" i="4"/>
  <c r="P44" i="4"/>
  <c r="P117" i="4"/>
  <c r="P156" i="4"/>
  <c r="P74" i="4"/>
  <c r="P128" i="4"/>
  <c r="P159" i="4"/>
  <c r="P110" i="4"/>
  <c r="P85" i="4"/>
  <c r="P134" i="4"/>
  <c r="P166" i="4"/>
  <c r="P180" i="4"/>
  <c r="P212" i="4"/>
  <c r="P244" i="4"/>
  <c r="P5" i="4"/>
  <c r="P45" i="4"/>
  <c r="P15" i="4"/>
  <c r="P124" i="4"/>
  <c r="P145" i="4"/>
  <c r="P91" i="4"/>
  <c r="P168" i="4"/>
  <c r="P131" i="4"/>
  <c r="P62" i="4"/>
  <c r="P95" i="4"/>
  <c r="P154" i="4"/>
  <c r="P192" i="4"/>
  <c r="P236" i="4"/>
  <c r="P171" i="4"/>
  <c r="P207" i="4"/>
  <c r="P243" i="4"/>
  <c r="P186" i="4"/>
  <c r="P222" i="4"/>
  <c r="P89" i="4"/>
  <c r="P252" i="4"/>
  <c r="P229" i="4"/>
  <c r="P213" i="4"/>
  <c r="P52" i="4"/>
  <c r="P136" i="4"/>
  <c r="P116" i="4"/>
  <c r="P219" i="4"/>
  <c r="P238" i="4"/>
  <c r="P209" i="4"/>
  <c r="P86" i="4"/>
  <c r="P147" i="4"/>
  <c r="P220" i="4"/>
  <c r="P170" i="4"/>
  <c r="P253" i="4"/>
  <c r="P28" i="4"/>
  <c r="P144" i="4"/>
  <c r="P169" i="4"/>
  <c r="P174" i="4"/>
  <c r="P217" i="4"/>
  <c r="P118" i="4"/>
  <c r="P96" i="4"/>
  <c r="P146" i="4"/>
  <c r="P79" i="4"/>
  <c r="P214" i="4"/>
  <c r="P189" i="4"/>
  <c r="P9" i="4"/>
  <c r="P18" i="4"/>
  <c r="P48" i="4"/>
  <c r="P33" i="4"/>
  <c r="P40" i="4"/>
  <c r="P149" i="4"/>
  <c r="P120" i="4"/>
  <c r="P41" i="4"/>
  <c r="P135" i="4"/>
  <c r="P69" i="4"/>
  <c r="P98" i="4"/>
  <c r="P42" i="4"/>
  <c r="P196" i="4"/>
  <c r="P248" i="4"/>
  <c r="P175" i="4"/>
  <c r="P211" i="4"/>
  <c r="P247" i="4"/>
  <c r="P190" i="4"/>
  <c r="P226" i="4"/>
  <c r="P126" i="4"/>
  <c r="P254" i="4"/>
  <c r="P251" i="4"/>
  <c r="P201" i="4"/>
  <c r="P83" i="4"/>
  <c r="P87" i="4"/>
  <c r="P81" i="4"/>
  <c r="P104" i="4"/>
  <c r="P129" i="4"/>
  <c r="P202" i="4"/>
  <c r="P193" i="4"/>
  <c r="P250" i="4"/>
  <c r="P27" i="4"/>
  <c r="P140" i="4"/>
  <c r="P138" i="4"/>
  <c r="P187" i="4"/>
  <c r="P225" i="4"/>
  <c r="P6" i="4"/>
  <c r="P163" i="4"/>
  <c r="P224" i="4"/>
  <c r="P191" i="4"/>
  <c r="P246" i="4"/>
  <c r="P19" i="4"/>
  <c r="P109" i="4"/>
  <c r="P57" i="4"/>
  <c r="P199" i="4"/>
  <c r="P75" i="4"/>
  <c r="P13" i="4"/>
  <c r="P22" i="4"/>
  <c r="P51" i="4"/>
  <c r="P36" i="4"/>
  <c r="P68" i="4"/>
  <c r="P153" i="4"/>
  <c r="P132" i="4"/>
  <c r="P46" i="4"/>
  <c r="P139" i="4"/>
  <c r="P113" i="4"/>
  <c r="P101" i="4"/>
  <c r="P49" i="4"/>
  <c r="P200" i="4"/>
  <c r="P123" i="4"/>
  <c r="P179" i="4"/>
  <c r="P215" i="4"/>
  <c r="P94" i="4"/>
  <c r="P194" i="4"/>
  <c r="P234" i="4"/>
  <c r="P108" i="4"/>
  <c r="P181" i="4"/>
  <c r="P177" i="4"/>
  <c r="P233" i="4"/>
  <c r="P26" i="4"/>
  <c r="P157" i="4"/>
  <c r="P143" i="4"/>
  <c r="P56" i="4"/>
  <c r="P183" i="4"/>
  <c r="P100" i="4"/>
  <c r="P245" i="4"/>
  <c r="P59" i="4"/>
  <c r="P88" i="4"/>
  <c r="P97" i="4"/>
  <c r="P223" i="4"/>
  <c r="P242" i="4"/>
  <c r="P241" i="4"/>
  <c r="P12" i="4"/>
  <c r="P93" i="4"/>
  <c r="P72" i="4"/>
  <c r="P210" i="4"/>
  <c r="P249" i="4"/>
  <c r="P35" i="4"/>
  <c r="P160" i="4"/>
  <c r="P184" i="4"/>
  <c r="P235" i="4"/>
  <c r="P205" i="4"/>
  <c r="P16" i="4"/>
  <c r="P103" i="4"/>
  <c r="P115" i="4"/>
  <c r="P106" i="4"/>
  <c r="P50" i="4"/>
  <c r="P3" i="4"/>
  <c r="P23" i="4"/>
  <c r="P39" i="4"/>
  <c r="P31" i="4"/>
  <c r="P121" i="4"/>
  <c r="P141" i="4"/>
  <c r="P84" i="4"/>
  <c r="P164" i="4"/>
  <c r="P119" i="4"/>
  <c r="P55" i="4"/>
  <c r="P90" i="4"/>
  <c r="P150" i="4"/>
  <c r="P188" i="4"/>
  <c r="P232" i="4"/>
  <c r="P105" i="4"/>
  <c r="P203" i="4"/>
  <c r="P239" i="4"/>
  <c r="P182" i="4"/>
  <c r="P218" i="4"/>
  <c r="P82" i="4"/>
  <c r="P237" i="4"/>
  <c r="P197" i="4"/>
  <c r="P221" i="4"/>
  <c r="P216" i="4"/>
  <c r="P8" i="4"/>
  <c r="P63" i="4"/>
  <c r="P43" i="4"/>
  <c r="P58" i="4"/>
  <c r="P206" i="4"/>
  <c r="P185" i="4"/>
  <c r="P65" i="4"/>
  <c r="P142" i="4"/>
  <c r="P231" i="4"/>
  <c r="P173" i="4"/>
  <c r="F2" i="4"/>
  <c r="P2" i="4" s="1"/>
  <c r="P38" i="4"/>
  <c r="P70" i="4"/>
  <c r="P167" i="4"/>
  <c r="P228" i="4"/>
  <c r="P178" i="4"/>
  <c r="P102" i="4"/>
  <c r="O8" i="4"/>
  <c r="O53" i="4"/>
  <c r="O85" i="4"/>
  <c r="O15" i="4"/>
  <c r="O71" i="4"/>
  <c r="O119" i="4"/>
  <c r="O37" i="4"/>
  <c r="O25" i="4"/>
  <c r="O106" i="4"/>
  <c r="O82" i="4"/>
  <c r="O72" i="4"/>
  <c r="O76" i="4"/>
  <c r="O90" i="4"/>
  <c r="O146" i="4"/>
  <c r="O78" i="4"/>
  <c r="O91" i="4"/>
  <c r="O192" i="4"/>
  <c r="O12" i="4"/>
  <c r="O57" i="4"/>
  <c r="O89" i="4"/>
  <c r="O22" i="4"/>
  <c r="O74" i="4"/>
  <c r="O123" i="4"/>
  <c r="O17" i="4"/>
  <c r="O27" i="4"/>
  <c r="O109" i="4"/>
  <c r="O94" i="4"/>
  <c r="O79" i="4"/>
  <c r="O110" i="4"/>
  <c r="O98" i="4"/>
  <c r="O150" i="4"/>
  <c r="O92" i="4"/>
  <c r="O157" i="4"/>
  <c r="O196" i="4"/>
  <c r="E2" i="4"/>
  <c r="O2" i="4" s="1"/>
  <c r="O19" i="4"/>
  <c r="O61" i="4"/>
  <c r="O35" i="4"/>
  <c r="O95" i="4"/>
  <c r="O127" i="4"/>
  <c r="O24" i="4"/>
  <c r="O29" i="4"/>
  <c r="O112" i="4"/>
  <c r="O97" i="4"/>
  <c r="O102" i="4"/>
  <c r="O113" i="4"/>
  <c r="O101" i="4"/>
  <c r="O154" i="4"/>
  <c r="O118" i="4"/>
  <c r="O164" i="4"/>
  <c r="O200" i="4"/>
  <c r="O232" i="4"/>
  <c r="O143" i="4"/>
  <c r="O171" i="4"/>
  <c r="O203" i="4"/>
  <c r="O235" i="4"/>
  <c r="O32" i="4"/>
  <c r="O81" i="4"/>
  <c r="O28" i="4"/>
  <c r="O38" i="4"/>
  <c r="O36" i="4"/>
  <c r="O137" i="4"/>
  <c r="O58" i="4"/>
  <c r="O50" i="4"/>
  <c r="O158" i="4"/>
  <c r="O70" i="4"/>
  <c r="O208" i="4"/>
  <c r="O244" i="4"/>
  <c r="O140" i="4"/>
  <c r="O191" i="4"/>
  <c r="O227" i="4"/>
  <c r="O144" i="4"/>
  <c r="O178" i="4"/>
  <c r="O210" i="4"/>
  <c r="O242" i="4"/>
  <c r="O131" i="4"/>
  <c r="O156" i="4"/>
  <c r="O197" i="4"/>
  <c r="O229" i="4"/>
  <c r="O251" i="4"/>
  <c r="O41" i="4"/>
  <c r="O7" i="4"/>
  <c r="O42" i="4"/>
  <c r="O16" i="4"/>
  <c r="O18" i="4"/>
  <c r="O54" i="4"/>
  <c r="O105" i="4"/>
  <c r="O64" i="4"/>
  <c r="O162" i="4"/>
  <c r="O84" i="4"/>
  <c r="O212" i="4"/>
  <c r="O248" i="4"/>
  <c r="O147" i="4"/>
  <c r="O195" i="4"/>
  <c r="O231" i="4"/>
  <c r="O151" i="4"/>
  <c r="O182" i="4"/>
  <c r="O214" i="4"/>
  <c r="O246" i="4"/>
  <c r="O145" i="4"/>
  <c r="O163" i="4"/>
  <c r="O201" i="4"/>
  <c r="O233" i="4"/>
  <c r="O254" i="4"/>
  <c r="O3" i="4"/>
  <c r="O45" i="4"/>
  <c r="O11" i="4"/>
  <c r="O68" i="4"/>
  <c r="O31" i="4"/>
  <c r="O40" i="4"/>
  <c r="O56" i="4"/>
  <c r="O108" i="4"/>
  <c r="O83" i="4"/>
  <c r="O166" i="4"/>
  <c r="O172" i="4"/>
  <c r="O216" i="4"/>
  <c r="O122" i="4"/>
  <c r="O165" i="4"/>
  <c r="O199" i="4"/>
  <c r="O239" i="4"/>
  <c r="O136" i="4"/>
  <c r="O186" i="4"/>
  <c r="O218" i="4"/>
  <c r="O250" i="4"/>
  <c r="O152" i="4"/>
  <c r="O173" i="4"/>
  <c r="O205" i="4"/>
  <c r="O237" i="4"/>
  <c r="O160" i="4"/>
  <c r="O23" i="4"/>
  <c r="O77" i="4"/>
  <c r="O26" i="4"/>
  <c r="O115" i="4"/>
  <c r="O33" i="4"/>
  <c r="O133" i="4"/>
  <c r="O51" i="4"/>
  <c r="O43" i="4"/>
  <c r="O142" i="4"/>
  <c r="O63" i="4"/>
  <c r="O204" i="4"/>
  <c r="O4" i="4"/>
  <c r="O39" i="4"/>
  <c r="O21" i="4"/>
  <c r="O129" i="4"/>
  <c r="O138" i="4"/>
  <c r="O188" i="4"/>
  <c r="O161" i="4"/>
  <c r="O207" i="4"/>
  <c r="O93" i="4"/>
  <c r="O194" i="4"/>
  <c r="O238" i="4"/>
  <c r="O120" i="4"/>
  <c r="O209" i="4"/>
  <c r="O252" i="4"/>
  <c r="O69" i="4"/>
  <c r="O80" i="4"/>
  <c r="O121" i="4"/>
  <c r="O168" i="4"/>
  <c r="O206" i="4"/>
  <c r="O221" i="4"/>
  <c r="O175" i="4"/>
  <c r="O181" i="4"/>
  <c r="O9" i="4"/>
  <c r="O130" i="4"/>
  <c r="O174" i="4"/>
  <c r="O245" i="4"/>
  <c r="O49" i="4"/>
  <c r="O99" i="4"/>
  <c r="O47" i="4"/>
  <c r="O48" i="4"/>
  <c r="O52" i="4"/>
  <c r="O220" i="4"/>
  <c r="O44" i="4"/>
  <c r="O211" i="4"/>
  <c r="O135" i="4"/>
  <c r="O198" i="4"/>
  <c r="O46" i="4"/>
  <c r="O132" i="4"/>
  <c r="O213" i="4"/>
  <c r="O153" i="4"/>
  <c r="O107" i="4"/>
  <c r="O228" i="4"/>
  <c r="O148" i="4"/>
  <c r="O177" i="4"/>
  <c r="O96" i="4"/>
  <c r="O124" i="4"/>
  <c r="O222" i="4"/>
  <c r="O169" i="4"/>
  <c r="O100" i="4"/>
  <c r="O183" i="4"/>
  <c r="O159" i="4"/>
  <c r="O65" i="4"/>
  <c r="O103" i="4"/>
  <c r="O66" i="4"/>
  <c r="O55" i="4"/>
  <c r="O59" i="4"/>
  <c r="O224" i="4"/>
  <c r="O117" i="4"/>
  <c r="O215" i="4"/>
  <c r="O141" i="4"/>
  <c r="O202" i="4"/>
  <c r="O60" i="4"/>
  <c r="O149" i="4"/>
  <c r="O217" i="4"/>
  <c r="O167" i="4"/>
  <c r="O62" i="4"/>
  <c r="O219" i="4"/>
  <c r="O67" i="4"/>
  <c r="O116" i="4"/>
  <c r="O155" i="4"/>
  <c r="O225" i="4"/>
  <c r="O6" i="4"/>
  <c r="O180" i="4"/>
  <c r="O247" i="4"/>
  <c r="O189" i="4"/>
  <c r="O73" i="4"/>
  <c r="O111" i="4"/>
  <c r="O236" i="4"/>
  <c r="O5" i="4"/>
  <c r="O14" i="4"/>
  <c r="O34" i="4"/>
  <c r="O75" i="4"/>
  <c r="O104" i="4"/>
  <c r="O176" i="4"/>
  <c r="O240" i="4"/>
  <c r="O179" i="4"/>
  <c r="O243" i="4"/>
  <c r="O170" i="4"/>
  <c r="O226" i="4"/>
  <c r="O125" i="4"/>
  <c r="O185" i="4"/>
  <c r="O241" i="4"/>
  <c r="O13" i="4"/>
  <c r="O10" i="4"/>
  <c r="O30" i="4"/>
  <c r="O126" i="4"/>
  <c r="O134" i="4"/>
  <c r="O184" i="4"/>
  <c r="O139" i="4"/>
  <c r="O187" i="4"/>
  <c r="O86" i="4"/>
  <c r="O190" i="4"/>
  <c r="O234" i="4"/>
  <c r="O114" i="4"/>
  <c r="O193" i="4"/>
  <c r="O249" i="4"/>
  <c r="O87" i="4"/>
  <c r="O223" i="4"/>
  <c r="O88" i="4"/>
  <c r="O253" i="4"/>
  <c r="O20" i="4"/>
  <c r="O128" i="4"/>
  <c r="O230" i="4"/>
  <c r="N19" i="4"/>
  <c r="N27" i="4"/>
  <c r="N9" i="4"/>
  <c r="N65" i="4"/>
  <c r="N36" i="4"/>
  <c r="N82" i="4"/>
  <c r="N44" i="4"/>
  <c r="N120" i="4"/>
  <c r="N156" i="4"/>
  <c r="N86" i="4"/>
  <c r="N135" i="4"/>
  <c r="N167" i="4"/>
  <c r="N101" i="4"/>
  <c r="N150" i="4"/>
  <c r="N78" i="4"/>
  <c r="N39" i="4"/>
  <c r="N106" i="4"/>
  <c r="N149" i="4"/>
  <c r="N171" i="4"/>
  <c r="N203" i="4"/>
  <c r="N23" i="4"/>
  <c r="N10" i="4"/>
  <c r="N32" i="4"/>
  <c r="N34" i="4"/>
  <c r="N61" i="4"/>
  <c r="N129" i="4"/>
  <c r="N117" i="4"/>
  <c r="N160" i="4"/>
  <c r="N96" i="4"/>
  <c r="N147" i="4"/>
  <c r="N69" i="4"/>
  <c r="N138" i="4"/>
  <c r="N57" i="4"/>
  <c r="N127" i="4"/>
  <c r="N109" i="4"/>
  <c r="N157" i="4"/>
  <c r="N183" i="4"/>
  <c r="N219" i="4"/>
  <c r="N51" i="4"/>
  <c r="N178" i="4"/>
  <c r="N210" i="4"/>
  <c r="N242" i="4"/>
  <c r="N181" i="4"/>
  <c r="N213" i="4"/>
  <c r="N245" i="4"/>
  <c r="N184" i="4"/>
  <c r="N254" i="4"/>
  <c r="N253" i="4"/>
  <c r="N244" i="4"/>
  <c r="D2" i="4"/>
  <c r="N2" i="4" s="1"/>
  <c r="N7" i="4"/>
  <c r="N17" i="4"/>
  <c r="N38" i="4"/>
  <c r="N37" i="4"/>
  <c r="N68" i="4"/>
  <c r="N42" i="4"/>
  <c r="N123" i="4"/>
  <c r="N164" i="4"/>
  <c r="N99" i="4"/>
  <c r="N151" i="4"/>
  <c r="N83" i="4"/>
  <c r="N142" i="4"/>
  <c r="N71" i="4"/>
  <c r="N40" i="4"/>
  <c r="N112" i="4"/>
  <c r="N161" i="4"/>
  <c r="N187" i="4"/>
  <c r="N223" i="4"/>
  <c r="N58" i="4"/>
  <c r="N182" i="4"/>
  <c r="N214" i="4"/>
  <c r="N246" i="4"/>
  <c r="N185" i="4"/>
  <c r="N217" i="4"/>
  <c r="N102" i="4"/>
  <c r="N216" i="4"/>
  <c r="N76" i="4"/>
  <c r="N200" i="4"/>
  <c r="N48" i="4"/>
  <c r="N16" i="4"/>
  <c r="N11" i="4"/>
  <c r="N21" i="4"/>
  <c r="N56" i="4"/>
  <c r="N30" i="4"/>
  <c r="N75" i="4"/>
  <c r="N49" i="4"/>
  <c r="N132" i="4"/>
  <c r="N168" i="4"/>
  <c r="N122" i="4"/>
  <c r="N155" i="4"/>
  <c r="N90" i="4"/>
  <c r="N146" i="4"/>
  <c r="N85" i="4"/>
  <c r="N45" i="4"/>
  <c r="N115" i="4"/>
  <c r="N165" i="4"/>
  <c r="N191" i="4"/>
  <c r="N227" i="4"/>
  <c r="N72" i="4"/>
  <c r="N186" i="4"/>
  <c r="N218" i="4"/>
  <c r="N74" i="4"/>
  <c r="N189" i="4"/>
  <c r="N221" i="4"/>
  <c r="N108" i="4"/>
  <c r="N248" i="4"/>
  <c r="N176" i="4"/>
  <c r="N232" i="4"/>
  <c r="N12" i="4"/>
  <c r="N6" i="4"/>
  <c r="N28" i="4"/>
  <c r="N31" i="4"/>
  <c r="N54" i="4"/>
  <c r="N126" i="4"/>
  <c r="N114" i="4"/>
  <c r="N152" i="4"/>
  <c r="N93" i="4"/>
  <c r="N143" i="4"/>
  <c r="N64" i="4"/>
  <c r="N134" i="4"/>
  <c r="N52" i="4"/>
  <c r="N124" i="4"/>
  <c r="N87" i="4"/>
  <c r="N20" i="4"/>
  <c r="N25" i="4"/>
  <c r="N33" i="4"/>
  <c r="N63" i="4"/>
  <c r="N46" i="4"/>
  <c r="N159" i="4"/>
  <c r="N154" i="4"/>
  <c r="N47" i="4"/>
  <c r="N153" i="4"/>
  <c r="N207" i="4"/>
  <c r="N79" i="4"/>
  <c r="N202" i="4"/>
  <c r="N113" i="4"/>
  <c r="N209" i="4"/>
  <c r="N172" i="4"/>
  <c r="N208" i="4"/>
  <c r="N180" i="4"/>
  <c r="N24" i="4"/>
  <c r="N3" i="4"/>
  <c r="N15" i="4"/>
  <c r="N70" i="4"/>
  <c r="N53" i="4"/>
  <c r="N163" i="4"/>
  <c r="N158" i="4"/>
  <c r="N66" i="4"/>
  <c r="N77" i="4"/>
  <c r="N211" i="4"/>
  <c r="N105" i="4"/>
  <c r="N206" i="4"/>
  <c r="N119" i="4"/>
  <c r="N225" i="4"/>
  <c r="N204" i="4"/>
  <c r="N250" i="4"/>
  <c r="N212" i="4"/>
  <c r="N4" i="4"/>
  <c r="N5" i="4"/>
  <c r="N29" i="4"/>
  <c r="N84" i="4"/>
  <c r="N60" i="4"/>
  <c r="N43" i="4"/>
  <c r="N162" i="4"/>
  <c r="N73" i="4"/>
  <c r="N110" i="4"/>
  <c r="N215" i="4"/>
  <c r="N111" i="4"/>
  <c r="N222" i="4"/>
  <c r="N173" i="4"/>
  <c r="N229" i="4"/>
  <c r="N236" i="4"/>
  <c r="N224" i="4"/>
  <c r="N26" i="4"/>
  <c r="N91" i="4"/>
  <c r="N103" i="4"/>
  <c r="N148" i="4"/>
  <c r="N139" i="4"/>
  <c r="N130" i="4"/>
  <c r="N121" i="4"/>
  <c r="N145" i="4"/>
  <c r="N199" i="4"/>
  <c r="N247" i="4"/>
  <c r="N198" i="4"/>
  <c r="N81" i="4"/>
  <c r="N205" i="4"/>
  <c r="N55" i="4"/>
  <c r="N240" i="4"/>
  <c r="N41" i="4"/>
  <c r="N22" i="4"/>
  <c r="N100" i="4"/>
  <c r="N131" i="4"/>
  <c r="N118" i="4"/>
  <c r="N195" i="4"/>
  <c r="N194" i="4"/>
  <c r="N201" i="4"/>
  <c r="N228" i="4"/>
  <c r="N104" i="4"/>
  <c r="N243" i="4"/>
  <c r="N14" i="4"/>
  <c r="N175" i="4"/>
  <c r="N13" i="4"/>
  <c r="N89" i="4"/>
  <c r="N50" i="4"/>
  <c r="N80" i="4"/>
  <c r="N231" i="4"/>
  <c r="N226" i="4"/>
  <c r="N233" i="4"/>
  <c r="N188" i="4"/>
  <c r="N239" i="4"/>
  <c r="N241" i="4"/>
  <c r="N238" i="4"/>
  <c r="N125" i="4"/>
  <c r="N193" i="4"/>
  <c r="N59" i="4"/>
  <c r="N136" i="4"/>
  <c r="N98" i="4"/>
  <c r="N133" i="4"/>
  <c r="N235" i="4"/>
  <c r="N230" i="4"/>
  <c r="N237" i="4"/>
  <c r="N220" i="4"/>
  <c r="N137" i="4"/>
  <c r="N192" i="4"/>
  <c r="N169" i="4"/>
  <c r="N94" i="4"/>
  <c r="N174" i="4"/>
  <c r="N62" i="4"/>
  <c r="N140" i="4"/>
  <c r="N234" i="4"/>
  <c r="N88" i="4"/>
  <c r="N144" i="4"/>
  <c r="N107" i="4"/>
  <c r="N141" i="4"/>
  <c r="N8" i="4"/>
  <c r="N35" i="4"/>
  <c r="N67" i="4"/>
  <c r="N166" i="4"/>
  <c r="N116" i="4"/>
  <c r="N170" i="4"/>
  <c r="N177" i="4"/>
  <c r="N251" i="4"/>
  <c r="N18" i="4"/>
  <c r="N97" i="4"/>
  <c r="N128" i="4"/>
  <c r="N95" i="4"/>
  <c r="N179" i="4"/>
  <c r="N190" i="4"/>
  <c r="N197" i="4"/>
  <c r="N196" i="4"/>
  <c r="N252" i="4"/>
  <c r="N92" i="4"/>
  <c r="N249" i="4"/>
  <c r="M7" i="4"/>
  <c r="M29" i="4"/>
  <c r="M40" i="4"/>
  <c r="M72" i="4"/>
  <c r="M15" i="4"/>
  <c r="M50" i="4"/>
  <c r="M106" i="4"/>
  <c r="M23" i="4"/>
  <c r="M42" i="4"/>
  <c r="M132" i="4"/>
  <c r="M108" i="4"/>
  <c r="M119" i="4"/>
  <c r="M45" i="4"/>
  <c r="M133" i="4"/>
  <c r="M165" i="4"/>
  <c r="M128" i="4"/>
  <c r="M187" i="4"/>
  <c r="M219" i="4"/>
  <c r="M43" i="4"/>
  <c r="M93" i="4"/>
  <c r="M178" i="4"/>
  <c r="M210" i="4"/>
  <c r="M242" i="4"/>
  <c r="M125" i="4"/>
  <c r="M185" i="4"/>
  <c r="M217" i="4"/>
  <c r="M249" i="4"/>
  <c r="M160" i="4"/>
  <c r="M196" i="4"/>
  <c r="M228" i="4"/>
  <c r="M253" i="4"/>
  <c r="M252" i="4"/>
  <c r="M11" i="4"/>
  <c r="M30" i="4"/>
  <c r="M44" i="4"/>
  <c r="M76" i="4"/>
  <c r="M3" i="4"/>
  <c r="M53" i="4"/>
  <c r="M110" i="4"/>
  <c r="M20" i="4"/>
  <c r="M49" i="4"/>
  <c r="M136" i="4"/>
  <c r="M111" i="4"/>
  <c r="M57" i="4"/>
  <c r="M59" i="4"/>
  <c r="M137" i="4"/>
  <c r="M54" i="4"/>
  <c r="M139" i="4"/>
  <c r="M191" i="4"/>
  <c r="M223" i="4"/>
  <c r="M104" i="4"/>
  <c r="M99" i="4"/>
  <c r="M182" i="4"/>
  <c r="M214" i="4"/>
  <c r="M246" i="4"/>
  <c r="M131" i="4"/>
  <c r="M189" i="4"/>
  <c r="M221" i="4"/>
  <c r="M14" i="4"/>
  <c r="M31" i="4"/>
  <c r="M48" i="4"/>
  <c r="M80" i="4"/>
  <c r="M5" i="4"/>
  <c r="M79" i="4"/>
  <c r="M114" i="4"/>
  <c r="M17" i="4"/>
  <c r="M63" i="4"/>
  <c r="M140" i="4"/>
  <c r="M41" i="4"/>
  <c r="M71" i="4"/>
  <c r="M66" i="4"/>
  <c r="M141" i="4"/>
  <c r="M61" i="4"/>
  <c r="M143" i="4"/>
  <c r="M195" i="4"/>
  <c r="M227" i="4"/>
  <c r="M134" i="4"/>
  <c r="M135" i="4"/>
  <c r="M186" i="4"/>
  <c r="M218" i="4"/>
  <c r="M250" i="4"/>
  <c r="M152" i="4"/>
  <c r="M193" i="4"/>
  <c r="M225" i="4"/>
  <c r="M8" i="4"/>
  <c r="M27" i="4"/>
  <c r="M38" i="4"/>
  <c r="M64" i="4"/>
  <c r="M6" i="4"/>
  <c r="M34" i="4"/>
  <c r="M98" i="4"/>
  <c r="M130" i="4"/>
  <c r="M25" i="4"/>
  <c r="M120" i="4"/>
  <c r="M91" i="4"/>
  <c r="M113" i="4"/>
  <c r="M124" i="4"/>
  <c r="M112" i="4"/>
  <c r="M157" i="4"/>
  <c r="M103" i="4"/>
  <c r="M179" i="4"/>
  <c r="M211" i="4"/>
  <c r="M243" i="4"/>
  <c r="M65" i="4"/>
  <c r="M170" i="4"/>
  <c r="M202" i="4"/>
  <c r="M234" i="4"/>
  <c r="M46" i="4"/>
  <c r="M177" i="4"/>
  <c r="M209" i="4"/>
  <c r="M28" i="4"/>
  <c r="M68" i="4"/>
  <c r="M47" i="4"/>
  <c r="M16" i="4"/>
  <c r="M123" i="4"/>
  <c r="M116" i="4"/>
  <c r="M115" i="4"/>
  <c r="M129" i="4"/>
  <c r="M215" i="4"/>
  <c r="M86" i="4"/>
  <c r="M206" i="4"/>
  <c r="M67" i="4"/>
  <c r="M213" i="4"/>
  <c r="M156" i="4"/>
  <c r="M180" i="4"/>
  <c r="M216" i="4"/>
  <c r="M251" i="4"/>
  <c r="M138" i="4"/>
  <c r="M35" i="4"/>
  <c r="M84" i="4"/>
  <c r="M82" i="4"/>
  <c r="M24" i="4"/>
  <c r="M51" i="4"/>
  <c r="M78" i="4"/>
  <c r="M145" i="4"/>
  <c r="M150" i="4"/>
  <c r="M231" i="4"/>
  <c r="M144" i="4"/>
  <c r="M222" i="4"/>
  <c r="M159" i="4"/>
  <c r="M229" i="4"/>
  <c r="M163" i="4"/>
  <c r="M184" i="4"/>
  <c r="M220" i="4"/>
  <c r="M62" i="4"/>
  <c r="C2" i="4"/>
  <c r="M2" i="4" s="1"/>
  <c r="M36" i="4"/>
  <c r="M88" i="4"/>
  <c r="M85" i="4"/>
  <c r="M33" i="4"/>
  <c r="M58" i="4"/>
  <c r="M95" i="4"/>
  <c r="M149" i="4"/>
  <c r="M171" i="4"/>
  <c r="M235" i="4"/>
  <c r="M151" i="4"/>
  <c r="M226" i="4"/>
  <c r="M166" i="4"/>
  <c r="M233" i="4"/>
  <c r="M169" i="4"/>
  <c r="M188" i="4"/>
  <c r="M224" i="4"/>
  <c r="M69" i="4"/>
  <c r="M26" i="4"/>
  <c r="M60" i="4"/>
  <c r="M19" i="4"/>
  <c r="M126" i="4"/>
  <c r="M117" i="4"/>
  <c r="M81" i="4"/>
  <c r="M109" i="4"/>
  <c r="M100" i="4"/>
  <c r="M207" i="4"/>
  <c r="M168" i="4"/>
  <c r="M198" i="4"/>
  <c r="M162" i="4"/>
  <c r="M205" i="4"/>
  <c r="M107" i="4"/>
  <c r="M176" i="4"/>
  <c r="M212" i="4"/>
  <c r="M248" i="4"/>
  <c r="M90" i="4"/>
  <c r="M4" i="4"/>
  <c r="M92" i="4"/>
  <c r="M21" i="4"/>
  <c r="M121" i="4"/>
  <c r="M175" i="4"/>
  <c r="M158" i="4"/>
  <c r="M173" i="4"/>
  <c r="M96" i="4"/>
  <c r="M232" i="4"/>
  <c r="M12" i="4"/>
  <c r="M10" i="4"/>
  <c r="M32" i="4"/>
  <c r="M127" i="4"/>
  <c r="M183" i="4"/>
  <c r="M174" i="4"/>
  <c r="M181" i="4"/>
  <c r="M142" i="4"/>
  <c r="M236" i="4"/>
  <c r="M18" i="4"/>
  <c r="M9" i="4"/>
  <c r="M70" i="4"/>
  <c r="M73" i="4"/>
  <c r="M199" i="4"/>
  <c r="M190" i="4"/>
  <c r="M197" i="4"/>
  <c r="M167" i="4"/>
  <c r="M240" i="4"/>
  <c r="M56" i="4"/>
  <c r="M122" i="4"/>
  <c r="M74" i="4"/>
  <c r="M97" i="4"/>
  <c r="M154" i="4"/>
  <c r="M155" i="4"/>
  <c r="M101" i="4"/>
  <c r="M208" i="4"/>
  <c r="M164" i="4"/>
  <c r="M118" i="4"/>
  <c r="M75" i="4"/>
  <c r="M148" i="4"/>
  <c r="M204" i="4"/>
  <c r="M94" i="4"/>
  <c r="M22" i="4"/>
  <c r="M89" i="4"/>
  <c r="M203" i="4"/>
  <c r="M201" i="4"/>
  <c r="M244" i="4"/>
  <c r="M230" i="4"/>
  <c r="M37" i="4"/>
  <c r="M77" i="4"/>
  <c r="M239" i="4"/>
  <c r="M237" i="4"/>
  <c r="M254" i="4"/>
  <c r="M153" i="4"/>
  <c r="M39" i="4"/>
  <c r="M105" i="4"/>
  <c r="M247" i="4"/>
  <c r="M241" i="4"/>
  <c r="M146" i="4"/>
  <c r="M52" i="4"/>
  <c r="M55" i="4"/>
  <c r="M147" i="4"/>
  <c r="M245" i="4"/>
  <c r="M83" i="4"/>
  <c r="M13" i="4"/>
  <c r="M87" i="4"/>
  <c r="M194" i="4"/>
  <c r="M172" i="4"/>
  <c r="M102" i="4"/>
  <c r="M161" i="4"/>
  <c r="M238" i="4"/>
  <c r="M200" i="4"/>
  <c r="M192" i="4"/>
  <c r="L19" i="4"/>
  <c r="L27" i="4"/>
  <c r="L5" i="4"/>
  <c r="L12" i="4"/>
  <c r="L73" i="4"/>
  <c r="L35" i="4"/>
  <c r="L91" i="4"/>
  <c r="L79" i="4"/>
  <c r="L131" i="4"/>
  <c r="L163" i="4"/>
  <c r="L90" i="4"/>
  <c r="L146" i="4"/>
  <c r="L52" i="4"/>
  <c r="L115" i="4"/>
  <c r="L157" i="4"/>
  <c r="L80" i="4"/>
  <c r="L63" i="4"/>
  <c r="L126" i="4"/>
  <c r="L160" i="4"/>
  <c r="L71" i="4"/>
  <c r="L194" i="4"/>
  <c r="L226" i="4"/>
  <c r="L130" i="4"/>
  <c r="L201" i="4"/>
  <c r="L233" i="4"/>
  <c r="L113" i="4"/>
  <c r="L188" i="4"/>
  <c r="L220" i="4"/>
  <c r="L55" i="4"/>
  <c r="L252" i="4"/>
  <c r="L251" i="4"/>
  <c r="L179" i="4"/>
  <c r="L23" i="4"/>
  <c r="L6" i="4"/>
  <c r="L9" i="4"/>
  <c r="L34" i="4"/>
  <c r="L76" i="4"/>
  <c r="L39" i="4"/>
  <c r="L105" i="4"/>
  <c r="L86" i="4"/>
  <c r="L135" i="4"/>
  <c r="L167" i="4"/>
  <c r="L101" i="4"/>
  <c r="L150" i="4"/>
  <c r="L59" i="4"/>
  <c r="L118" i="4"/>
  <c r="L161" i="4"/>
  <c r="L97" i="4"/>
  <c r="L68" i="4"/>
  <c r="L132" i="4"/>
  <c r="L164" i="4"/>
  <c r="L78" i="4"/>
  <c r="L198" i="4"/>
  <c r="L230" i="4"/>
  <c r="L173" i="4"/>
  <c r="L205" i="4"/>
  <c r="L237" i="4"/>
  <c r="L119" i="4"/>
  <c r="L192" i="4"/>
  <c r="L224" i="4"/>
  <c r="L183" i="4"/>
  <c r="L203" i="4"/>
  <c r="L127" i="4"/>
  <c r="L211" i="4"/>
  <c r="L7" i="4"/>
  <c r="L10" i="4"/>
  <c r="L13" i="4"/>
  <c r="L38" i="4"/>
  <c r="L37" i="4"/>
  <c r="L28" i="4"/>
  <c r="L108" i="4"/>
  <c r="L93" i="4"/>
  <c r="L139" i="4"/>
  <c r="L43" i="4"/>
  <c r="L104" i="4"/>
  <c r="L154" i="4"/>
  <c r="L66" i="4"/>
  <c r="L133" i="4"/>
  <c r="L165" i="4"/>
  <c r="L100" i="4"/>
  <c r="L82" i="4"/>
  <c r="L136" i="4"/>
  <c r="L116" i="4"/>
  <c r="L98" i="4"/>
  <c r="L202" i="4"/>
  <c r="L234" i="4"/>
  <c r="L177" i="4"/>
  <c r="L209" i="4"/>
  <c r="L241" i="4"/>
  <c r="L169" i="4"/>
  <c r="L196" i="4"/>
  <c r="L228" i="4"/>
  <c r="L215" i="4"/>
  <c r="L121" i="4"/>
  <c r="L187" i="4"/>
  <c r="L191" i="4"/>
  <c r="L22" i="4"/>
  <c r="L25" i="4"/>
  <c r="L4" i="4"/>
  <c r="L67" i="4"/>
  <c r="L29" i="4"/>
  <c r="L77" i="4"/>
  <c r="L65" i="4"/>
  <c r="L125" i="4"/>
  <c r="L155" i="4"/>
  <c r="L83" i="4"/>
  <c r="L138" i="4"/>
  <c r="L170" i="4"/>
  <c r="L109" i="4"/>
  <c r="L149" i="4"/>
  <c r="L61" i="4"/>
  <c r="L42" i="4"/>
  <c r="L120" i="4"/>
  <c r="L152" i="4"/>
  <c r="L57" i="4"/>
  <c r="L186" i="4"/>
  <c r="L218" i="4"/>
  <c r="L250" i="4"/>
  <c r="L193" i="4"/>
  <c r="L225" i="4"/>
  <c r="L74" i="4"/>
  <c r="L180" i="4"/>
  <c r="L212" i="4"/>
  <c r="L244" i="4"/>
  <c r="L254" i="4"/>
  <c r="L249" i="4"/>
  <c r="L171" i="4"/>
  <c r="L26" i="4"/>
  <c r="L8" i="4"/>
  <c r="L32" i="4"/>
  <c r="L72" i="4"/>
  <c r="L159" i="4"/>
  <c r="L142" i="4"/>
  <c r="L112" i="4"/>
  <c r="L75" i="4"/>
  <c r="L123" i="4"/>
  <c r="L64" i="4"/>
  <c r="L222" i="4"/>
  <c r="L197" i="4"/>
  <c r="L81" i="4"/>
  <c r="L216" i="4"/>
  <c r="L253" i="4"/>
  <c r="L235" i="4"/>
  <c r="L15" i="4"/>
  <c r="L31" i="4"/>
  <c r="L51" i="4"/>
  <c r="L96" i="4"/>
  <c r="L48" i="4"/>
  <c r="L158" i="4"/>
  <c r="L137" i="4"/>
  <c r="L103" i="4"/>
  <c r="L140" i="4"/>
  <c r="L174" i="4"/>
  <c r="L238" i="4"/>
  <c r="L213" i="4"/>
  <c r="L95" i="4"/>
  <c r="L232" i="4"/>
  <c r="L175" i="4"/>
  <c r="L223" i="4"/>
  <c r="L17" i="4"/>
  <c r="L41" i="4"/>
  <c r="L56" i="4"/>
  <c r="L99" i="4"/>
  <c r="L62" i="4"/>
  <c r="L162" i="4"/>
  <c r="L141" i="4"/>
  <c r="L106" i="4"/>
  <c r="L144" i="4"/>
  <c r="L178" i="4"/>
  <c r="L242" i="4"/>
  <c r="L217" i="4"/>
  <c r="L172" i="4"/>
  <c r="L236" i="4"/>
  <c r="L207" i="4"/>
  <c r="L21" i="4"/>
  <c r="L18" i="4"/>
  <c r="L24" i="4"/>
  <c r="L36" i="4"/>
  <c r="L46" i="4"/>
  <c r="L151" i="4"/>
  <c r="L134" i="4"/>
  <c r="L92" i="4"/>
  <c r="L54" i="4"/>
  <c r="L117" i="4"/>
  <c r="L50" i="4"/>
  <c r="L214" i="4"/>
  <c r="L189" i="4"/>
  <c r="L60" i="4"/>
  <c r="L208" i="4"/>
  <c r="L227" i="4"/>
  <c r="L231" i="4"/>
  <c r="L44" i="4"/>
  <c r="L102" i="4"/>
  <c r="L166" i="4"/>
  <c r="L129" i="4"/>
  <c r="L182" i="4"/>
  <c r="L221" i="4"/>
  <c r="L240" i="4"/>
  <c r="L70" i="4"/>
  <c r="L128" i="4"/>
  <c r="L45" i="4"/>
  <c r="L49" i="4"/>
  <c r="L190" i="4"/>
  <c r="L229" i="4"/>
  <c r="L248" i="4"/>
  <c r="B2" i="4"/>
  <c r="L2" i="4" s="1"/>
  <c r="L30" i="4"/>
  <c r="L143" i="4"/>
  <c r="L85" i="4"/>
  <c r="L89" i="4"/>
  <c r="L206" i="4"/>
  <c r="L245" i="4"/>
  <c r="L247" i="4"/>
  <c r="L11" i="4"/>
  <c r="L20" i="4"/>
  <c r="L114" i="4"/>
  <c r="L110" i="4"/>
  <c r="L47" i="4"/>
  <c r="L168" i="4"/>
  <c r="L185" i="4"/>
  <c r="L204" i="4"/>
  <c r="L199" i="4"/>
  <c r="L111" i="4"/>
  <c r="L40" i="4"/>
  <c r="L181" i="4"/>
  <c r="L219" i="4"/>
  <c r="L239" i="4"/>
  <c r="L147" i="4"/>
  <c r="L94" i="4"/>
  <c r="L53" i="4"/>
  <c r="L58" i="4"/>
  <c r="L14" i="4"/>
  <c r="L69" i="4"/>
  <c r="L148" i="4"/>
  <c r="L176" i="4"/>
  <c r="L246" i="4"/>
  <c r="L3" i="4"/>
  <c r="L88" i="4"/>
  <c r="L156" i="4"/>
  <c r="L184" i="4"/>
  <c r="L16" i="4"/>
  <c r="L107" i="4"/>
  <c r="L122" i="4"/>
  <c r="L200" i="4"/>
  <c r="L33" i="4"/>
  <c r="L87" i="4"/>
  <c r="L210" i="4"/>
  <c r="L195" i="4"/>
  <c r="L84" i="4"/>
  <c r="L153" i="4"/>
  <c r="L124" i="4"/>
  <c r="L243" i="4"/>
  <c r="L145" i="4"/>
  <c r="AC14" i="4" a="1"/>
  <c r="AC14" i="4" s="1"/>
  <c r="AA2" i="4"/>
  <c r="AA3" i="4" a="1"/>
  <c r="AA3" i="4" s="1"/>
  <c r="X27" i="4" l="1" a="1"/>
  <c r="X27" i="4" s="1"/>
  <c r="Y27" i="4" a="1"/>
  <c r="Y27" i="4" s="1"/>
  <c r="W35" i="4" a="1"/>
  <c r="W35" i="4" s="1"/>
  <c r="Y35" i="4" a="1"/>
  <c r="Y35" i="4" s="1"/>
  <c r="V14" i="4" a="1"/>
  <c r="V14" i="4" s="1"/>
  <c r="V15" i="4" s="1"/>
  <c r="W14" i="4" a="1"/>
  <c r="W14" i="4" s="1"/>
  <c r="W15" i="4" s="1"/>
  <c r="W3" i="4" a="1"/>
  <c r="W3" i="4" s="1"/>
  <c r="W37" i="4" a="1"/>
  <c r="W37" i="4" s="1"/>
  <c r="Y28" i="4" a="1"/>
  <c r="Y28" i="4" s="1"/>
  <c r="X36" i="4" a="1"/>
  <c r="X36" i="4" s="1"/>
  <c r="V2" i="4"/>
  <c r="A3" i="8" s="1"/>
  <c r="W27" i="4" a="1"/>
  <c r="W27" i="4" s="1"/>
  <c r="X35" i="4" a="1"/>
  <c r="X35" i="4" s="1"/>
  <c r="V3" i="4" a="1"/>
  <c r="V3" i="4" s="1"/>
  <c r="W26" i="4" a="1"/>
  <c r="W26" i="4" s="1"/>
  <c r="W2" i="4"/>
  <c r="A4" i="8" s="1"/>
  <c r="Y26" i="4" a="1"/>
  <c r="Y26" i="4" s="1"/>
  <c r="W36" i="4" a="1"/>
  <c r="W36" i="4" s="1"/>
  <c r="X2" i="4"/>
  <c r="A5" i="8" s="1"/>
  <c r="X26" i="4" a="1"/>
  <c r="X26" i="4" s="1"/>
  <c r="W28" i="4" a="1"/>
  <c r="W28" i="4" s="1"/>
  <c r="Y37" i="4" a="1"/>
  <c r="Y37" i="4" s="1"/>
  <c r="Y36" i="4" a="1"/>
  <c r="Y36" i="4" s="1"/>
  <c r="Z38" i="4" a="1"/>
  <c r="Z38" i="4" s="1"/>
  <c r="Z26" i="4" a="1"/>
  <c r="Z26" i="4" s="1"/>
  <c r="X29" i="4" a="1"/>
  <c r="X29" i="4" s="1"/>
  <c r="Z27" i="4" a="1"/>
  <c r="Z27" i="4" s="1"/>
  <c r="Y29" i="4" a="1"/>
  <c r="Y29" i="4" s="1"/>
  <c r="Y3" i="4" a="1"/>
  <c r="Y3" i="4" s="1"/>
  <c r="W38" i="4" a="1"/>
  <c r="W38" i="4" s="1"/>
  <c r="Y14" i="4" a="1"/>
  <c r="Y14" i="4" s="1"/>
  <c r="Y15" i="4" s="1"/>
  <c r="Z35" i="4" a="1"/>
  <c r="Z35" i="4" s="1"/>
  <c r="Y2" i="4"/>
  <c r="A6" i="8" s="1"/>
  <c r="Z29" i="4" a="1"/>
  <c r="Z29" i="4" s="1"/>
  <c r="X38" i="4" a="1"/>
  <c r="X38" i="4" s="1"/>
  <c r="Y38" i="4" a="1"/>
  <c r="Y38" i="4" s="1"/>
  <c r="W29" i="4" a="1"/>
  <c r="W29" i="4" s="1"/>
  <c r="Z36" i="4" a="1"/>
  <c r="Z36" i="4" s="1"/>
  <c r="X37" i="4" a="1"/>
  <c r="X37" i="4" s="1"/>
  <c r="Z28" i="4" a="1"/>
  <c r="Z28" i="4" s="1"/>
  <c r="X3" i="4" a="1"/>
  <c r="X3" i="4" s="1"/>
  <c r="X14" i="4" a="1"/>
  <c r="X14" i="4" s="1"/>
  <c r="X15" i="4" s="1"/>
  <c r="X28" i="4" a="1"/>
  <c r="X28" i="4" s="1"/>
  <c r="Z37" i="4" a="1"/>
  <c r="Z37" i="4" s="1"/>
  <c r="AA38" i="4" a="1"/>
  <c r="AA38" i="4" s="1"/>
  <c r="AA27" i="4" a="1"/>
  <c r="AA27" i="4" s="1"/>
  <c r="AA28" i="4" a="1"/>
  <c r="AA28" i="4" s="1"/>
  <c r="AA26" i="4" a="1"/>
  <c r="AA26" i="4" s="1"/>
  <c r="AA35" i="4" a="1"/>
  <c r="AA35" i="4" s="1"/>
  <c r="W39" i="4" a="1"/>
  <c r="W39" i="4" s="1"/>
  <c r="AA36" i="4" a="1"/>
  <c r="AA36" i="4" s="1"/>
  <c r="Z3" i="4" a="1"/>
  <c r="Z3" i="4" s="1"/>
  <c r="Y39" i="4" a="1"/>
  <c r="Y39" i="4" s="1"/>
  <c r="Z14" i="4" a="1"/>
  <c r="Z14" i="4" s="1"/>
  <c r="Z15" i="4" s="1"/>
  <c r="AA29" i="4" a="1"/>
  <c r="AA29" i="4" s="1"/>
  <c r="AA37" i="4" a="1"/>
  <c r="AA37" i="4" s="1"/>
  <c r="W30" i="4" a="1"/>
  <c r="W30" i="4" s="1"/>
  <c r="X39" i="4" a="1"/>
  <c r="X39" i="4" s="1"/>
  <c r="Z39" i="4" a="1"/>
  <c r="Z39" i="4" s="1"/>
  <c r="AA30" i="4" a="1"/>
  <c r="AA30" i="4" s="1"/>
  <c r="AA39" i="4" a="1"/>
  <c r="AA39" i="4" s="1"/>
  <c r="Y30" i="4" a="1"/>
  <c r="Y30" i="4" s="1"/>
  <c r="X30" i="4" a="1"/>
  <c r="X30" i="4" s="1"/>
  <c r="Z2" i="4"/>
  <c r="A7" i="8" s="1"/>
  <c r="Z30" i="4" a="1"/>
  <c r="Z30" i="4" s="1"/>
  <c r="B3" i="7" l="1" a="1"/>
  <c r="B3" i="7" s="1"/>
  <c r="H3" i="7" s="1" a="1"/>
  <c r="H3" i="7" s="1"/>
  <c r="H10" i="7" s="1" a="1"/>
  <c r="H10" i="7" s="1"/>
  <c r="A17" i="8" s="1" a="1"/>
  <c r="A17" i="8" s="1"/>
  <c r="C3" i="8" s="1"/>
  <c r="A13" i="6" a="1"/>
  <c r="A13" i="6" s="1"/>
  <c r="A13" i="5" a="1"/>
  <c r="A13" i="5" s="1"/>
  <c r="A3" i="5" a="1"/>
  <c r="A3" i="5" s="1"/>
  <c r="B19" i="5" s="1" a="1"/>
  <c r="B19" i="5" s="1"/>
  <c r="B20" i="5" s="1"/>
  <c r="A3" i="6" a="1"/>
  <c r="A3" i="6" s="1"/>
  <c r="B19" i="6" s="1" a="1"/>
  <c r="B19" i="6" s="1"/>
  <c r="B20" i="6" s="1"/>
  <c r="A10" i="8" l="1" a="1"/>
  <c r="A10" i="8" s="1"/>
  <c r="C6" i="8" s="1"/>
  <c r="B18" i="6"/>
  <c r="B18" i="5"/>
  <c r="H9" i="8"/>
  <c r="C14" i="8"/>
  <c r="L3" i="8" s="1"/>
  <c r="L4" i="8" s="1"/>
  <c r="L5" i="8" s="1"/>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H19" i="7"/>
  <c r="I23" i="7" s="1"/>
  <c r="C9" i="8" l="1"/>
  <c r="H6" i="8" s="1"/>
  <c r="H3" i="8"/>
  <c r="C17" i="8"/>
  <c r="I25" i="7"/>
  <c r="I24" i="7"/>
  <c r="I27" i="7"/>
  <c r="I36" i="7" s="1"/>
  <c r="I26" i="7"/>
  <c r="C20" i="8" l="1"/>
  <c r="M3" i="8"/>
  <c r="M4" i="8"/>
  <c r="M5" i="8"/>
  <c r="M6" i="8"/>
  <c r="M7" i="8"/>
  <c r="M8" i="8"/>
  <c r="M13" i="8"/>
  <c r="M10" i="8"/>
  <c r="M12" i="8"/>
  <c r="M9" i="8"/>
  <c r="M11" i="8"/>
  <c r="M15" i="8"/>
  <c r="M16" i="8"/>
  <c r="M14" i="8"/>
  <c r="M18" i="8"/>
  <c r="M17" i="8"/>
  <c r="M19" i="8"/>
  <c r="M64" i="8"/>
  <c r="M76" i="8"/>
  <c r="M27" i="8"/>
  <c r="M55" i="8"/>
  <c r="M20" i="8"/>
  <c r="M24" i="8"/>
  <c r="M28" i="8"/>
  <c r="M32" i="8"/>
  <c r="M36" i="8"/>
  <c r="M40" i="8"/>
  <c r="M44" i="8"/>
  <c r="M48" i="8"/>
  <c r="M52" i="8"/>
  <c r="M56" i="8"/>
  <c r="M60" i="8"/>
  <c r="M68" i="8"/>
  <c r="M72" i="8"/>
  <c r="M80" i="8"/>
  <c r="M31" i="8"/>
  <c r="M75" i="8"/>
  <c r="M35" i="8"/>
  <c r="M59" i="8"/>
  <c r="M21" i="8"/>
  <c r="M25" i="8"/>
  <c r="M29" i="8"/>
  <c r="M33" i="8"/>
  <c r="M37" i="8"/>
  <c r="M41" i="8"/>
  <c r="M45" i="8"/>
  <c r="M49" i="8"/>
  <c r="M53" i="8"/>
  <c r="M57" i="8"/>
  <c r="M61" i="8"/>
  <c r="M65" i="8"/>
  <c r="M69" i="8"/>
  <c r="M73" i="8"/>
  <c r="M77" i="8"/>
  <c r="M81" i="8"/>
  <c r="M23" i="8"/>
  <c r="M79" i="8"/>
  <c r="M39" i="8"/>
  <c r="M71" i="8"/>
  <c r="M22" i="8"/>
  <c r="M26" i="8"/>
  <c r="M30" i="8"/>
  <c r="M34" i="8"/>
  <c r="M38" i="8"/>
  <c r="M42" i="8"/>
  <c r="M46" i="8"/>
  <c r="M50" i="8"/>
  <c r="M54" i="8"/>
  <c r="M58" i="8"/>
  <c r="M62" i="8"/>
  <c r="M66" i="8"/>
  <c r="M70" i="8"/>
  <c r="M74" i="8"/>
  <c r="M78" i="8"/>
  <c r="M82" i="8"/>
  <c r="M43" i="8"/>
  <c r="M51" i="8"/>
  <c r="M63" i="8"/>
  <c r="M83" i="8"/>
  <c r="M47" i="8"/>
  <c r="M67" i="8"/>
  <c r="I34" i="7"/>
  <c r="L34" i="7"/>
  <c r="L35" i="7" s="1"/>
  <c r="G4"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2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futureMetadata>
  <cellMetadata count="1">
    <bk>
      <rc t="1" v="0"/>
    </bk>
  </cellMetadata>
  <valueMetadata count="225">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valueMetadata>
</metadata>
</file>

<file path=xl/sharedStrings.xml><?xml version="1.0" encoding="utf-8"?>
<sst xmlns="http://schemas.openxmlformats.org/spreadsheetml/2006/main" count="155" uniqueCount="128">
  <si>
    <t>Discount Rate</t>
  </si>
  <si>
    <t>Investments</t>
  </si>
  <si>
    <t>NPV</t>
  </si>
  <si>
    <t>IRR</t>
  </si>
  <si>
    <t>Ranking</t>
  </si>
  <si>
    <t>Ranking IRR</t>
  </si>
  <si>
    <t>Results</t>
  </si>
  <si>
    <t>Dow Jones Industrial Average</t>
  </si>
  <si>
    <t>DIA</t>
  </si>
  <si>
    <t>Russell 2000</t>
  </si>
  <si>
    <t>IWM</t>
  </si>
  <si>
    <t xml:space="preserve">MSCI World Index </t>
  </si>
  <si>
    <t>URTH</t>
  </si>
  <si>
    <t>Nasdaq 100</t>
  </si>
  <si>
    <t>QQQ</t>
  </si>
  <si>
    <t xml:space="preserve">S&amp;P 500 </t>
  </si>
  <si>
    <t>SPY</t>
  </si>
  <si>
    <t>Benchmark</t>
  </si>
  <si>
    <t xml:space="preserve">Each category represents a diverse set of companies, giving you exposure to various sectors of the stock market. </t>
  </si>
  <si>
    <t>Schlumberger N.V.</t>
  </si>
  <si>
    <t>SLB</t>
  </si>
  <si>
    <t>Abbott Laboratories</t>
  </si>
  <si>
    <t>ABT</t>
  </si>
  <si>
    <t>Visa Inc.</t>
  </si>
  <si>
    <t>V</t>
  </si>
  <si>
    <t xml:space="preserve"> Starbucks Corporation</t>
  </si>
  <si>
    <t xml:space="preserve">SBUX </t>
  </si>
  <si>
    <t>Amazon.com, Inc.</t>
  </si>
  <si>
    <t xml:space="preserve">AMZN </t>
  </si>
  <si>
    <t>Shell PLC</t>
  </si>
  <si>
    <t>SHEL</t>
  </si>
  <si>
    <t>UnitedHealth Group Incorporated</t>
  </si>
  <si>
    <t>UNH</t>
  </si>
  <si>
    <t>Morgan Stanley</t>
  </si>
  <si>
    <t>MS</t>
  </si>
  <si>
    <t>Unilever PLC</t>
  </si>
  <si>
    <t xml:space="preserve">UL </t>
  </si>
  <si>
    <t>NVIDIA Corporation</t>
  </si>
  <si>
    <t xml:space="preserve">NVDA </t>
  </si>
  <si>
    <t>BP PLC</t>
  </si>
  <si>
    <t>BP</t>
  </si>
  <si>
    <t>Merck &amp; Co., Inc.</t>
  </si>
  <si>
    <t>MRK</t>
  </si>
  <si>
    <t>Goldman Sachs Group, Inc.</t>
  </si>
  <si>
    <t>GS</t>
  </si>
  <si>
    <t>PepsiCo, Inc.</t>
  </si>
  <si>
    <t xml:space="preserve">PEP </t>
  </si>
  <si>
    <t>Alphabet Inc. (Class A)</t>
  </si>
  <si>
    <t xml:space="preserve">GOOGL </t>
  </si>
  <si>
    <t>Chevron Corporation</t>
  </si>
  <si>
    <t>CVX</t>
  </si>
  <si>
    <t>Pfizer Inc.</t>
  </si>
  <si>
    <t>PFE</t>
  </si>
  <si>
    <t>Bank of America Corporation</t>
  </si>
  <si>
    <t>BAC</t>
  </si>
  <si>
    <t>Coca-Cola Company</t>
  </si>
  <si>
    <t xml:space="preserve">KO </t>
  </si>
  <si>
    <t>Microsoft Corporation</t>
  </si>
  <si>
    <t xml:space="preserve">MSFT </t>
  </si>
  <si>
    <t>Exxon Mobil Corporation</t>
  </si>
  <si>
    <t>XOM</t>
  </si>
  <si>
    <t>Johnson &amp; Johnson</t>
  </si>
  <si>
    <t>JNJ</t>
  </si>
  <si>
    <t>JPMorgan Chase &amp; Co.</t>
  </si>
  <si>
    <t>JPM</t>
  </si>
  <si>
    <t>Procter &amp; Gamble Co.</t>
  </si>
  <si>
    <t xml:space="preserve">PG </t>
  </si>
  <si>
    <t>Apple Inc.</t>
  </si>
  <si>
    <t xml:space="preserve">AAPL </t>
  </si>
  <si>
    <t>5. Energy</t>
  </si>
  <si>
    <t>4. Healthcare</t>
  </si>
  <si>
    <t>3. Financials</t>
  </si>
  <si>
    <t>2. Consumer Goods</t>
  </si>
  <si>
    <t>1. Technology</t>
  </si>
  <si>
    <t>25 stock tickers divided into 5 categories: Technology, Consumer Goods, Financials, Healthcare, and Energy.</t>
  </si>
  <si>
    <t>Frequency</t>
  </si>
  <si>
    <t>Monthly</t>
  </si>
  <si>
    <t>Weekly</t>
  </si>
  <si>
    <t>Benchmark Index Ticker</t>
  </si>
  <si>
    <t>End Date</t>
  </si>
  <si>
    <t>Start Date</t>
  </si>
  <si>
    <t>Column 5</t>
  </si>
  <si>
    <t>Column 4</t>
  </si>
  <si>
    <t>Column 3</t>
  </si>
  <si>
    <t>Column 2</t>
  </si>
  <si>
    <t>Column 1</t>
  </si>
  <si>
    <t>Covariance Matrix</t>
  </si>
  <si>
    <t>Correlation Matrix</t>
  </si>
  <si>
    <t>Beta</t>
  </si>
  <si>
    <t>Benchmark Variance</t>
  </si>
  <si>
    <t>Standard Deviation</t>
  </si>
  <si>
    <t>Expected Return</t>
  </si>
  <si>
    <t>Volatility</t>
  </si>
  <si>
    <t>Variance</t>
  </si>
  <si>
    <t>Expected return</t>
  </si>
  <si>
    <r>
      <t>Expected returns (</t>
    </r>
    <r>
      <rPr>
        <sz val="11"/>
        <color theme="0"/>
        <rFont val="Calibri"/>
        <family val="2"/>
      </rPr>
      <t>μ)</t>
    </r>
  </si>
  <si>
    <t>Weights</t>
  </si>
  <si>
    <r>
      <t>Covariance matrix (</t>
    </r>
    <r>
      <rPr>
        <sz val="11"/>
        <color theme="0"/>
        <rFont val="Calibri"/>
        <family val="2"/>
      </rPr>
      <t>Σ)</t>
    </r>
  </si>
  <si>
    <t>Parameters</t>
  </si>
  <si>
    <t>Leverage</t>
  </si>
  <si>
    <t>Portfolio Volatility</t>
  </si>
  <si>
    <t>Portfolio Variance</t>
  </si>
  <si>
    <t>Sum of weights</t>
  </si>
  <si>
    <t>GMV portfolio (Sigma^(-1) * 1 / (1' * Sigma^(-1) * 1))</t>
  </si>
  <si>
    <t>Inner product 1' * Sigma^(-1) * 1</t>
  </si>
  <si>
    <t>Matrix product Sigma^(-1) * 1</t>
  </si>
  <si>
    <t>Vector of ones (1)</t>
  </si>
  <si>
    <t>Inverse covariance matrix (Sigma^(-1))</t>
  </si>
  <si>
    <t>Covariance matrix (Sigma)</t>
  </si>
  <si>
    <t>c is the maximum squared expected return-to-volatility ratio, so sqrt(c) is the maximum ratio</t>
  </si>
  <si>
    <t>b / a is the expected return on the GMV portfolio</t>
  </si>
  <si>
    <t>Matrix product 2: Sigma^(-1) * 1</t>
  </si>
  <si>
    <t>1 / a is the variance of the GMV portfolio, so 1 / sqrt(a) is the minimum volatility</t>
  </si>
  <si>
    <t>Interpretation of parameters</t>
  </si>
  <si>
    <t>Matrix product 1: Sigma^(-1) * mu</t>
  </si>
  <si>
    <t>1 / a</t>
  </si>
  <si>
    <t>c</t>
  </si>
  <si>
    <t>c - b^2 / a</t>
  </si>
  <si>
    <t>b</t>
  </si>
  <si>
    <t>Expected return (mu_p)</t>
  </si>
  <si>
    <t>Volatility (sigma_p)</t>
  </si>
  <si>
    <t>b/a</t>
  </si>
  <si>
    <t>a</t>
  </si>
  <si>
    <t>mu</t>
  </si>
  <si>
    <t>Efficient portfolio moments</t>
  </si>
  <si>
    <t>Parameters of efficient frontier</t>
  </si>
  <si>
    <t>Matrix calculations</t>
  </si>
  <si>
    <t>AAPL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</si>
</sst>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8" formatCode="#,##0.00\ &quot;€&quot;;[Red]\-#,##0.00\ &quot;€&quot;"/>
    <numFmt numFmtId="164" formatCode="0.0%"/>
  </numFmts>
  <fonts count="12" x14ac:knownFonts="1">
    <font>
      <sz val="11"/>
      <color theme="1"/>
      <name val="Calibri"/>
      <family val="2"/>
      <scheme val="minor"/>
    </font>
    <font>
      <b/>
      <sz val="11"/>
      <color theme="1"/>
      <name val="Calibri"/>
      <family val="2"/>
      <scheme val="minor"/>
    </font>
    <font>
      <sz val="11"/>
      <color theme="6" tint="0.3999755851924192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rgb="FF000000"/>
      <name val="Calibri"/>
      <family val="2"/>
      <scheme val="minor"/>
    </font>
    <font>
      <b/>
      <sz val="13.5"/>
      <color rgb="FF000000"/>
      <name val="Calibri"/>
      <family val="2"/>
      <scheme val="minor"/>
    </font>
    <font>
      <b/>
      <sz val="14"/>
      <color rgb="FF000000"/>
      <name val="Calibri"/>
      <family val="2"/>
      <scheme val="minor"/>
    </font>
    <font>
      <i/>
      <sz val="11"/>
      <color theme="1"/>
      <name val="Calibri"/>
      <family val="2"/>
      <scheme val="minor"/>
    </font>
    <font>
      <sz val="11"/>
      <color theme="0"/>
      <name val="Calibri"/>
      <family val="2"/>
    </font>
    <font>
      <i/>
      <sz val="11"/>
      <color theme="6" tint="-0.499984740745262"/>
      <name val="Calibri"/>
      <family val="2"/>
      <scheme val="minor"/>
    </font>
  </fonts>
  <fills count="19">
    <fill>
      <patternFill patternType="none"/>
    </fill>
    <fill>
      <patternFill patternType="gray125"/>
    </fill>
    <fill>
      <patternFill patternType="solid">
        <fgColor theme="6" tint="0.39997558519241921"/>
        <bgColor indexed="64"/>
      </patternFill>
    </fill>
    <fill>
      <patternFill patternType="solid">
        <fgColor theme="4" tint="0.39997558519241921"/>
        <bgColor indexed="64"/>
      </patternFill>
    </fill>
    <fill>
      <patternFill patternType="solid">
        <fgColor rgb="FFFFFFCC"/>
      </patternFill>
    </fill>
    <fill>
      <patternFill patternType="solid">
        <fgColor rgb="FFFFFF00"/>
        <bgColor indexed="64"/>
      </patternFill>
    </fill>
    <fill>
      <patternFill patternType="solid">
        <fgColor rgb="FF0070C0"/>
        <bgColor indexed="64"/>
      </patternFill>
    </fill>
    <fill>
      <patternFill patternType="solid">
        <fgColor rgb="FF92D050"/>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5" tint="-0.499984740745262"/>
        <bgColor indexed="64"/>
      </patternFill>
    </fill>
    <fill>
      <patternFill patternType="solid">
        <fgColor theme="4"/>
        <bgColor indexed="64"/>
      </patternFill>
    </fill>
    <fill>
      <patternFill patternType="solid">
        <fgColor theme="7"/>
        <bgColor indexed="64"/>
      </patternFill>
    </fill>
    <fill>
      <patternFill patternType="solid">
        <fgColor theme="8" tint="-0.499984740745262"/>
        <bgColor indexed="64"/>
      </patternFill>
    </fill>
    <fill>
      <patternFill patternType="solid">
        <fgColor rgb="FFFFC000"/>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theme="5" tint="-0.249977111117893"/>
        <bgColor indexed="64"/>
      </patternFill>
    </fill>
  </fills>
  <borders count="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bottom style="thin">
        <color rgb="FFB2B2B2"/>
      </bottom>
      <diagonal/>
    </border>
  </borders>
  <cellStyleXfs count="3">
    <xf numFmtId="0" fontId="0" fillId="0" borderId="0"/>
    <xf numFmtId="9" fontId="3" fillId="0" borderId="0" applyFont="0" applyFill="0" applyBorder="0" applyAlignment="0" applyProtection="0"/>
    <xf numFmtId="0" fontId="3" fillId="4" borderId="5" applyNumberFormat="0" applyFont="0" applyAlignment="0" applyProtection="0"/>
  </cellStyleXfs>
  <cellXfs count="74">
    <xf numFmtId="0" fontId="0" fillId="0" borderId="0" xfId="0"/>
    <xf numFmtId="0" fontId="0" fillId="2" borderId="0" xfId="0" applyFill="1"/>
    <xf numFmtId="0" fontId="1" fillId="2" borderId="1" xfId="0" applyFont="1" applyFill="1" applyBorder="1" applyAlignment="1">
      <alignment horizontal="center" vertical="top"/>
    </xf>
    <xf numFmtId="10" fontId="0" fillId="2" borderId="0" xfId="0" applyNumberFormat="1" applyFill="1"/>
    <xf numFmtId="0" fontId="0" fillId="3" borderId="0" xfId="0" applyFill="1"/>
    <xf numFmtId="0" fontId="2" fillId="2" borderId="0" xfId="0" applyFont="1" applyFill="1" applyProtection="1">
      <protection locked="0" hidden="1"/>
    </xf>
    <xf numFmtId="8" fontId="0" fillId="3" borderId="0" xfId="0" applyNumberFormat="1" applyFill="1"/>
    <xf numFmtId="9" fontId="0" fillId="3" borderId="0" xfId="0" applyNumberFormat="1" applyFill="1"/>
    <xf numFmtId="0" fontId="1" fillId="2" borderId="4" xfId="0" applyFont="1" applyFill="1" applyBorder="1" applyAlignment="1">
      <alignment horizontal="center" vertical="top"/>
    </xf>
    <xf numFmtId="8" fontId="0" fillId="2" borderId="2" xfId="0" applyNumberFormat="1" applyFill="1" applyBorder="1"/>
    <xf numFmtId="10" fontId="0" fillId="2" borderId="2" xfId="0" applyNumberFormat="1" applyFill="1" applyBorder="1"/>
    <xf numFmtId="0" fontId="0" fillId="2" borderId="2" xfId="0" applyFill="1" applyBorder="1"/>
    <xf numFmtId="8" fontId="0" fillId="2" borderId="0" xfId="0" applyNumberFormat="1" applyFill="1"/>
    <xf numFmtId="8" fontId="1" fillId="2" borderId="3" xfId="0" applyNumberFormat="1" applyFont="1" applyFill="1" applyBorder="1" applyAlignment="1">
      <alignment horizontal="center" vertical="top"/>
    </xf>
    <xf numFmtId="9" fontId="1" fillId="2" borderId="3" xfId="0" applyNumberFormat="1" applyFont="1" applyFill="1" applyBorder="1" applyAlignment="1">
      <alignment horizontal="center" vertical="top"/>
    </xf>
    <xf numFmtId="9" fontId="0" fillId="2" borderId="0" xfId="0" applyNumberFormat="1" applyFill="1"/>
    <xf numFmtId="0" fontId="6" fillId="0" borderId="0" xfId="0" applyFont="1"/>
    <xf numFmtId="0" fontId="7" fillId="0" borderId="0" xfId="0" applyFont="1"/>
    <xf numFmtId="0" fontId="0" fillId="0" borderId="1" xfId="0" applyBorder="1"/>
    <xf numFmtId="0" fontId="6" fillId="0" borderId="1" xfId="0" applyFont="1" applyBorder="1"/>
    <xf numFmtId="0" fontId="8" fillId="0" borderId="0" xfId="0" applyFont="1"/>
    <xf numFmtId="0" fontId="0" fillId="5" borderId="0" xfId="0" applyFill="1"/>
    <xf numFmtId="0" fontId="6" fillId="5" borderId="0" xfId="0" applyFont="1" applyFill="1"/>
    <xf numFmtId="0" fontId="0" fillId="6" borderId="1" xfId="0" applyFill="1" applyBorder="1"/>
    <xf numFmtId="14" fontId="0" fillId="0" borderId="1" xfId="0" applyNumberFormat="1" applyBorder="1"/>
    <xf numFmtId="10" fontId="0" fillId="0" borderId="0" xfId="0" applyNumberFormat="1"/>
    <xf numFmtId="14" fontId="0" fillId="0" borderId="0" xfId="0" applyNumberFormat="1"/>
    <xf numFmtId="0" fontId="9" fillId="0" borderId="1" xfId="0" applyFont="1" applyBorder="1" applyAlignment="1">
      <alignment horizontal="center"/>
    </xf>
    <xf numFmtId="0" fontId="0" fillId="7" borderId="0" xfId="0" applyFill="1"/>
    <xf numFmtId="0" fontId="0" fillId="0" borderId="0" xfId="0" applyAlignment="1">
      <alignment horizontal="center" vertical="top"/>
    </xf>
    <xf numFmtId="0" fontId="0" fillId="8" borderId="1" xfId="0" applyFill="1" applyBorder="1"/>
    <xf numFmtId="0" fontId="0" fillId="0" borderId="1" xfId="0" applyBorder="1" applyAlignment="1">
      <alignment horizontal="center" vertical="top"/>
    </xf>
    <xf numFmtId="10" fontId="0" fillId="0" borderId="1" xfId="1" applyNumberFormat="1" applyFont="1" applyBorder="1"/>
    <xf numFmtId="10" fontId="0" fillId="0" borderId="1" xfId="0" applyNumberFormat="1" applyBorder="1"/>
    <xf numFmtId="0" fontId="0" fillId="0" borderId="4" xfId="0" applyBorder="1"/>
    <xf numFmtId="0" fontId="0" fillId="0" borderId="4" xfId="0" applyBorder="1" applyAlignment="1">
      <alignment horizontal="center" vertical="top"/>
    </xf>
    <xf numFmtId="10" fontId="0" fillId="4" borderId="5" xfId="1" applyNumberFormat="1" applyFont="1" applyFill="1" applyBorder="1"/>
    <xf numFmtId="0" fontId="5" fillId="9" borderId="0" xfId="0" applyFont="1" applyFill="1"/>
    <xf numFmtId="0" fontId="0" fillId="4" borderId="5" xfId="2" applyFont="1"/>
    <xf numFmtId="10" fontId="0" fillId="0" borderId="0" xfId="1" applyNumberFormat="1" applyFont="1"/>
    <xf numFmtId="10" fontId="0" fillId="0" borderId="0" xfId="1" applyNumberFormat="1" applyFont="1" applyFill="1"/>
    <xf numFmtId="9" fontId="0" fillId="0" borderId="0" xfId="2" applyNumberFormat="1" applyFont="1" applyFill="1" applyBorder="1"/>
    <xf numFmtId="0" fontId="5" fillId="0" borderId="0" xfId="0" applyFont="1"/>
    <xf numFmtId="9" fontId="0" fillId="0" borderId="0" xfId="0" applyNumberFormat="1"/>
    <xf numFmtId="164" fontId="0" fillId="0" borderId="0" xfId="0" applyNumberFormat="1"/>
    <xf numFmtId="10" fontId="0" fillId="0" borderId="0" xfId="1" applyNumberFormat="1" applyFont="1" applyFill="1" applyBorder="1"/>
    <xf numFmtId="10" fontId="0" fillId="0" borderId="0" xfId="2" applyNumberFormat="1" applyFont="1" applyFill="1" applyBorder="1"/>
    <xf numFmtId="10" fontId="0" fillId="4" borderId="1" xfId="1" applyNumberFormat="1" applyFont="1" applyFill="1" applyBorder="1"/>
    <xf numFmtId="0" fontId="5" fillId="12" borderId="1" xfId="0" applyFont="1" applyFill="1" applyBorder="1"/>
    <xf numFmtId="164" fontId="0" fillId="0" borderId="0" xfId="1" applyNumberFormat="1" applyFont="1"/>
    <xf numFmtId="0" fontId="4" fillId="13" borderId="0" xfId="0" applyFont="1" applyFill="1"/>
    <xf numFmtId="10" fontId="0" fillId="4" borderId="1" xfId="2" applyNumberFormat="1" applyFont="1" applyBorder="1"/>
    <xf numFmtId="0" fontId="4" fillId="0" borderId="0" xfId="0" applyFont="1"/>
    <xf numFmtId="0" fontId="0" fillId="0" borderId="0" xfId="2" applyFont="1" applyFill="1" applyBorder="1"/>
    <xf numFmtId="0" fontId="4" fillId="14" borderId="0" xfId="0" applyFont="1" applyFill="1"/>
    <xf numFmtId="0" fontId="0" fillId="0" borderId="6" xfId="2" applyFont="1" applyFill="1" applyBorder="1"/>
    <xf numFmtId="0" fontId="0" fillId="4" borderId="1" xfId="2" applyFont="1" applyBorder="1"/>
    <xf numFmtId="0" fontId="4" fillId="0" borderId="0" xfId="0" applyFont="1" applyAlignment="1">
      <alignment horizontal="center"/>
    </xf>
    <xf numFmtId="0" fontId="0" fillId="15" borderId="1" xfId="2" applyFont="1" applyFill="1" applyBorder="1"/>
    <xf numFmtId="0" fontId="5" fillId="15" borderId="0" xfId="0" applyFont="1" applyFill="1"/>
    <xf numFmtId="0" fontId="4" fillId="16" borderId="0" xfId="0" applyFont="1" applyFill="1"/>
    <xf numFmtId="0" fontId="5" fillId="12" borderId="0" xfId="0" applyFont="1" applyFill="1"/>
    <xf numFmtId="10" fontId="0" fillId="4" borderId="5" xfId="2" applyNumberFormat="1" applyFont="1"/>
    <xf numFmtId="2" fontId="0" fillId="0" borderId="0" xfId="1" applyNumberFormat="1" applyFont="1"/>
    <xf numFmtId="0" fontId="11" fillId="0" borderId="0" xfId="0" applyFont="1"/>
    <xf numFmtId="0" fontId="5" fillId="17" borderId="0" xfId="0" applyFont="1" applyFill="1"/>
    <xf numFmtId="0" fontId="5" fillId="18" borderId="0" xfId="0" applyFont="1" applyFill="1"/>
    <xf numFmtId="0" fontId="4" fillId="17" borderId="0" xfId="0" applyFont="1" applyFill="1"/>
    <xf numFmtId="0" fontId="5" fillId="10" borderId="0" xfId="0" applyFont="1" applyFill="1" applyAlignment="1">
      <alignment horizontal="center"/>
    </xf>
    <xf numFmtId="0" fontId="4" fillId="11" borderId="0" xfId="0" applyFont="1" applyFill="1" applyAlignment="1">
      <alignment horizontal="center"/>
    </xf>
    <xf numFmtId="0" fontId="4" fillId="16" borderId="0" xfId="0" applyFont="1" applyFill="1" applyAlignment="1">
      <alignment horizontal="center"/>
    </xf>
    <xf numFmtId="0" fontId="4" fillId="0" borderId="0" xfId="0" applyFont="1" applyAlignment="1">
      <alignment horizontal="center"/>
    </xf>
    <xf numFmtId="0" fontId="4" fillId="14" borderId="0" xfId="0" applyFont="1" applyFill="1" applyAlignment="1">
      <alignment horizontal="center"/>
    </xf>
    <xf numFmtId="0" fontId="4" fillId="17" borderId="0" xfId="0" applyFont="1" applyFill="1" applyAlignment="1">
      <alignment horizontal="center"/>
    </xf>
  </cellXfs>
  <cellStyles count="3">
    <cellStyle name="Normal" xfId="0" builtinId="0"/>
    <cellStyle name="Note" xfId="2" builtinId="10"/>
    <cellStyle name="Per 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17/06/relationships/rdRichValue" Target="richData/rdrichvalue.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T"/>
        </a:p>
      </c:txPr>
    </c:title>
    <c:autoTitleDeleted val="0"/>
    <c:plotArea>
      <c:layout/>
      <c:barChart>
        <c:barDir val="col"/>
        <c:grouping val="clustered"/>
        <c:varyColors val="0"/>
        <c:ser>
          <c:idx val="0"/>
          <c:order val="0"/>
          <c:tx>
            <c:v>Beta Comparison</c:v>
          </c:tx>
          <c:spPr>
            <a:solidFill>
              <a:schemeClr val="accent1"/>
            </a:solidFill>
            <a:ln>
              <a:noFill/>
            </a:ln>
            <a:effectLst/>
          </c:spPr>
          <c:invertIfNegative val="0"/>
          <c:cat>
            <c:strRef>
              <c:f>'Stock Data'!$V$13:$Z$13</c:f>
              <c:strCache>
                <c:ptCount val="5"/>
                <c:pt idx="0">
                  <c:v>AAPL</c:v>
                </c:pt>
                <c:pt idx="1">
                  <c:v>KO </c:v>
                </c:pt>
                <c:pt idx="2">
                  <c:v>JPM</c:v>
                </c:pt>
                <c:pt idx="3">
                  <c:v>MRK</c:v>
                </c:pt>
                <c:pt idx="4">
                  <c:v>SLB</c:v>
                </c:pt>
              </c:strCache>
            </c:strRef>
          </c:cat>
          <c:val>
            <c:numRef>
              <c:f>'Stock Data'!$V$15:$Z$15</c:f>
              <c:numCache>
                <c:formatCode>General</c:formatCode>
                <c:ptCount val="5"/>
                <c:pt idx="0">
                  <c:v>0.69014680726484534</c:v>
                </c:pt>
                <c:pt idx="1">
                  <c:v>0.19427836029912751</c:v>
                </c:pt>
                <c:pt idx="2">
                  <c:v>0.89727484221828524</c:v>
                </c:pt>
                <c:pt idx="3">
                  <c:v>5.3798341575179313E-2</c:v>
                </c:pt>
                <c:pt idx="4">
                  <c:v>0.98343313487178952</c:v>
                </c:pt>
              </c:numCache>
            </c:numRef>
          </c:val>
          <c:extLst>
            <c:ext xmlns:c16="http://schemas.microsoft.com/office/drawing/2014/chart" uri="{C3380CC4-5D6E-409C-BE32-E72D297353CC}">
              <c16:uniqueId val="{00000000-39EA-47C7-8755-B1E27131B08E}"/>
            </c:ext>
          </c:extLst>
        </c:ser>
        <c:dLbls>
          <c:showLegendKey val="0"/>
          <c:showVal val="0"/>
          <c:showCatName val="0"/>
          <c:showSerName val="0"/>
          <c:showPercent val="0"/>
          <c:showBubbleSize val="0"/>
        </c:dLbls>
        <c:gapWidth val="219"/>
        <c:overlap val="-27"/>
        <c:axId val="791164192"/>
        <c:axId val="710180176"/>
      </c:barChart>
      <c:catAx>
        <c:axId val="79116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crossAx val="710180176"/>
        <c:crosses val="autoZero"/>
        <c:auto val="1"/>
        <c:lblAlgn val="ctr"/>
        <c:lblOffset val="100"/>
        <c:noMultiLvlLbl val="0"/>
      </c:catAx>
      <c:valAx>
        <c:axId val="710180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crossAx val="791164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Asset</a:t>
            </a:r>
            <a:r>
              <a:rPr lang="en-GB" baseline="0"/>
              <a:t> Allocation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T"/>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724-44A5-8AE4-0E6F09F9ABE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724-44A5-8AE4-0E6F09F9ABE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724-44A5-8AE4-0E6F09F9ABE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724-44A5-8AE4-0E6F09F9ABE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724-44A5-8AE4-0E6F09F9ABE4}"/>
              </c:ext>
            </c:extLst>
          </c:dPt>
          <c:cat>
            <c:strRef>
              <c:f>'Equally Weighted'!$H$1:$L$1</c:f>
              <c:strCache>
                <c:ptCount val="5"/>
                <c:pt idx="0">
                  <c:v>AAPL</c:v>
                </c:pt>
                <c:pt idx="1">
                  <c:v>KO </c:v>
                </c:pt>
                <c:pt idx="2">
                  <c:v>JPM</c:v>
                </c:pt>
                <c:pt idx="3">
                  <c:v>MRK</c:v>
                </c:pt>
                <c:pt idx="4">
                  <c:v>SLB</c:v>
                </c:pt>
              </c:strCache>
            </c:strRef>
          </c:cat>
          <c:val>
            <c:numRef>
              <c:f>'Equally Weighted'!$H$2:$L$2</c:f>
              <c:numCache>
                <c:formatCode>0%</c:formatCode>
                <c:ptCount val="5"/>
                <c:pt idx="0">
                  <c:v>0.2</c:v>
                </c:pt>
                <c:pt idx="1">
                  <c:v>0.2</c:v>
                </c:pt>
                <c:pt idx="2">
                  <c:v>0.2</c:v>
                </c:pt>
                <c:pt idx="3">
                  <c:v>0.2</c:v>
                </c:pt>
                <c:pt idx="4">
                  <c:v>0.2</c:v>
                </c:pt>
              </c:numCache>
            </c:numRef>
          </c:val>
          <c:extLst>
            <c:ext xmlns:c16="http://schemas.microsoft.com/office/drawing/2014/chart" uri="{C3380CC4-5D6E-409C-BE32-E72D297353CC}">
              <c16:uniqueId val="{0000000A-E724-44A5-8AE4-0E6F09F9ABE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Asset</a:t>
            </a:r>
            <a:r>
              <a:rPr lang="en-GB" baseline="0"/>
              <a:t> Allocation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T"/>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A50-4F95-83FC-DDB820FD7D9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A50-4F95-83FC-DDB820FD7D9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A50-4F95-83FC-DDB820FD7D9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A50-4F95-83FC-DDB820FD7D9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A50-4F95-83FC-DDB820FD7D95}"/>
              </c:ext>
            </c:extLst>
          </c:dPt>
          <c:cat>
            <c:strRef>
              <c:f>'Build Your Own Portfolio'!$H$1:$L$1</c:f>
              <c:strCache>
                <c:ptCount val="5"/>
                <c:pt idx="0">
                  <c:v>AAPL</c:v>
                </c:pt>
                <c:pt idx="1">
                  <c:v>KO </c:v>
                </c:pt>
                <c:pt idx="2">
                  <c:v>JPM</c:v>
                </c:pt>
                <c:pt idx="3">
                  <c:v>MRK</c:v>
                </c:pt>
                <c:pt idx="4">
                  <c:v>SLB</c:v>
                </c:pt>
              </c:strCache>
            </c:strRef>
          </c:cat>
          <c:val>
            <c:numRef>
              <c:f>'Build Your Own Portfolio'!$H$2:$L$2</c:f>
              <c:numCache>
                <c:formatCode>0%</c:formatCode>
                <c:ptCount val="5"/>
                <c:pt idx="0">
                  <c:v>0.35</c:v>
                </c:pt>
                <c:pt idx="1">
                  <c:v>0.25</c:v>
                </c:pt>
                <c:pt idx="2">
                  <c:v>0.1</c:v>
                </c:pt>
                <c:pt idx="3">
                  <c:v>0.15</c:v>
                </c:pt>
                <c:pt idx="4">
                  <c:v>0.15</c:v>
                </c:pt>
              </c:numCache>
            </c:numRef>
          </c:val>
          <c:extLst>
            <c:ext xmlns:c16="http://schemas.microsoft.com/office/drawing/2014/chart" uri="{C3380CC4-5D6E-409C-BE32-E72D297353CC}">
              <c16:uniqueId val="{0000000A-EA50-4F95-83FC-DDB820FD7D95}"/>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Asset</a:t>
            </a:r>
            <a:r>
              <a:rPr lang="en-GB" baseline="0"/>
              <a:t> Allocation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T"/>
        </a:p>
      </c:txPr>
    </c:title>
    <c:autoTitleDeleted val="0"/>
    <c:plotArea>
      <c:layout/>
      <c:barChart>
        <c:barDir val="col"/>
        <c:grouping val="clustered"/>
        <c:varyColors val="0"/>
        <c:ser>
          <c:idx val="0"/>
          <c:order val="0"/>
          <c:spPr>
            <a:solidFill>
              <a:schemeClr val="accent1"/>
            </a:solidFill>
            <a:ln>
              <a:noFill/>
            </a:ln>
            <a:effectLst/>
          </c:spPr>
          <c:invertIfNegative val="0"/>
          <c:cat>
            <c:strRef>
              <c:f>'Minimum Variance Portfolio'!$H$23:$H$27</c:f>
              <c:strCache>
                <c:ptCount val="5"/>
                <c:pt idx="0">
                  <c:v>AAPL</c:v>
                </c:pt>
                <c:pt idx="1">
                  <c:v>KO </c:v>
                </c:pt>
                <c:pt idx="2">
                  <c:v>JPM</c:v>
                </c:pt>
                <c:pt idx="3">
                  <c:v>MRK</c:v>
                </c:pt>
                <c:pt idx="4">
                  <c:v>SLB</c:v>
                </c:pt>
              </c:strCache>
            </c:strRef>
          </c:cat>
          <c:val>
            <c:numRef>
              <c:f>'Minimum Variance Portfolio'!$I$23:$I$27</c:f>
              <c:numCache>
                <c:formatCode>0.00%</c:formatCode>
                <c:ptCount val="5"/>
                <c:pt idx="0">
                  <c:v>0.11876909209808559</c:v>
                </c:pt>
                <c:pt idx="1">
                  <c:v>0.63655317167645364</c:v>
                </c:pt>
                <c:pt idx="2">
                  <c:v>9.558286021215312E-2</c:v>
                </c:pt>
                <c:pt idx="3">
                  <c:v>0.18848571839001238</c:v>
                </c:pt>
                <c:pt idx="4">
                  <c:v>-3.939084237670467E-2</c:v>
                </c:pt>
              </c:numCache>
            </c:numRef>
          </c:val>
          <c:extLst>
            <c:ext xmlns:c16="http://schemas.microsoft.com/office/drawing/2014/chart" uri="{C3380CC4-5D6E-409C-BE32-E72D297353CC}">
              <c16:uniqueId val="{00000000-1580-4D2C-95D3-A383E6BCA43A}"/>
            </c:ext>
          </c:extLst>
        </c:ser>
        <c:dLbls>
          <c:showLegendKey val="0"/>
          <c:showVal val="0"/>
          <c:showCatName val="0"/>
          <c:showSerName val="0"/>
          <c:showPercent val="0"/>
          <c:showBubbleSize val="0"/>
        </c:dLbls>
        <c:gapWidth val="219"/>
        <c:overlap val="-27"/>
        <c:axId val="2145489168"/>
        <c:axId val="194897791"/>
      </c:barChart>
      <c:catAx>
        <c:axId val="2145489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crossAx val="194897791"/>
        <c:crosses val="autoZero"/>
        <c:auto val="1"/>
        <c:lblAlgn val="ctr"/>
        <c:lblOffset val="100"/>
        <c:noMultiLvlLbl val="0"/>
      </c:catAx>
      <c:valAx>
        <c:axId val="19489779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crossAx val="2145489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T"/>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Efficient frontier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T"/>
        </a:p>
      </c:txPr>
    </c:title>
    <c:autoTitleDeleted val="0"/>
    <c:plotArea>
      <c:layout/>
      <c:scatterChart>
        <c:scatterStyle val="lineMarker"/>
        <c:varyColors val="0"/>
        <c:ser>
          <c:idx val="0"/>
          <c:order val="0"/>
          <c:spPr>
            <a:ln w="19050" cap="rnd">
              <a:solidFill>
                <a:schemeClr val="accent1"/>
              </a:solidFill>
              <a:round/>
            </a:ln>
            <a:effectLst/>
          </c:spPr>
          <c:marker>
            <c:symbol val="none"/>
          </c:marker>
          <c:xVal>
            <c:strRef>
              <c:f>'Efficient Frontier'!$L$2:$L$83</c:f>
              <c:strCache>
                <c:ptCount val="82"/>
                <c:pt idx="0">
                  <c:v>Volatility (sigma_p)</c:v>
                </c:pt>
                <c:pt idx="1">
                  <c:v>3,72%</c:v>
                </c:pt>
                <c:pt idx="2">
                  <c:v>3,82%</c:v>
                </c:pt>
                <c:pt idx="3">
                  <c:v>3,92%</c:v>
                </c:pt>
                <c:pt idx="4">
                  <c:v>4,02%</c:v>
                </c:pt>
                <c:pt idx="5">
                  <c:v>4,12%</c:v>
                </c:pt>
                <c:pt idx="6">
                  <c:v>4,22%</c:v>
                </c:pt>
                <c:pt idx="7">
                  <c:v>4,32%</c:v>
                </c:pt>
                <c:pt idx="8">
                  <c:v>4,42%</c:v>
                </c:pt>
                <c:pt idx="9">
                  <c:v>4,52%</c:v>
                </c:pt>
                <c:pt idx="10">
                  <c:v>4,62%</c:v>
                </c:pt>
                <c:pt idx="11">
                  <c:v>4,72%</c:v>
                </c:pt>
                <c:pt idx="12">
                  <c:v>4,82%</c:v>
                </c:pt>
                <c:pt idx="13">
                  <c:v>4,92%</c:v>
                </c:pt>
                <c:pt idx="14">
                  <c:v>5,02%</c:v>
                </c:pt>
                <c:pt idx="15">
                  <c:v>5,12%</c:v>
                </c:pt>
                <c:pt idx="16">
                  <c:v>5,22%</c:v>
                </c:pt>
                <c:pt idx="17">
                  <c:v>5,32%</c:v>
                </c:pt>
                <c:pt idx="18">
                  <c:v>5,42%</c:v>
                </c:pt>
                <c:pt idx="19">
                  <c:v>5,52%</c:v>
                </c:pt>
                <c:pt idx="20">
                  <c:v>5,62%</c:v>
                </c:pt>
                <c:pt idx="21">
                  <c:v>5,72%</c:v>
                </c:pt>
                <c:pt idx="22">
                  <c:v>5,82%</c:v>
                </c:pt>
                <c:pt idx="23">
                  <c:v>5,92%</c:v>
                </c:pt>
                <c:pt idx="24">
                  <c:v>6,02%</c:v>
                </c:pt>
                <c:pt idx="25">
                  <c:v>6,12%</c:v>
                </c:pt>
                <c:pt idx="26">
                  <c:v>6,22%</c:v>
                </c:pt>
                <c:pt idx="27">
                  <c:v>6,32%</c:v>
                </c:pt>
                <c:pt idx="28">
                  <c:v>6,42%</c:v>
                </c:pt>
                <c:pt idx="29">
                  <c:v>6,52%</c:v>
                </c:pt>
                <c:pt idx="30">
                  <c:v>6,62%</c:v>
                </c:pt>
                <c:pt idx="31">
                  <c:v>6,72%</c:v>
                </c:pt>
                <c:pt idx="32">
                  <c:v>6,82%</c:v>
                </c:pt>
                <c:pt idx="33">
                  <c:v>6,92%</c:v>
                </c:pt>
                <c:pt idx="34">
                  <c:v>7,02%</c:v>
                </c:pt>
                <c:pt idx="35">
                  <c:v>7,12%</c:v>
                </c:pt>
                <c:pt idx="36">
                  <c:v>7,22%</c:v>
                </c:pt>
                <c:pt idx="37">
                  <c:v>7,32%</c:v>
                </c:pt>
                <c:pt idx="38">
                  <c:v>7,42%</c:v>
                </c:pt>
                <c:pt idx="39">
                  <c:v>7,52%</c:v>
                </c:pt>
                <c:pt idx="40">
                  <c:v>7,62%</c:v>
                </c:pt>
                <c:pt idx="41">
                  <c:v>7,72%</c:v>
                </c:pt>
                <c:pt idx="42">
                  <c:v>7,82%</c:v>
                </c:pt>
                <c:pt idx="43">
                  <c:v>7,92%</c:v>
                </c:pt>
                <c:pt idx="44">
                  <c:v>8,02%</c:v>
                </c:pt>
                <c:pt idx="45">
                  <c:v>8,12%</c:v>
                </c:pt>
                <c:pt idx="46">
                  <c:v>8,22%</c:v>
                </c:pt>
                <c:pt idx="47">
                  <c:v>8,32%</c:v>
                </c:pt>
                <c:pt idx="48">
                  <c:v>8,42%</c:v>
                </c:pt>
                <c:pt idx="49">
                  <c:v>8,52%</c:v>
                </c:pt>
                <c:pt idx="50">
                  <c:v>8,62%</c:v>
                </c:pt>
                <c:pt idx="51">
                  <c:v>8,72%</c:v>
                </c:pt>
                <c:pt idx="52">
                  <c:v>8,82%</c:v>
                </c:pt>
                <c:pt idx="53">
                  <c:v>8,92%</c:v>
                </c:pt>
                <c:pt idx="54">
                  <c:v>9,02%</c:v>
                </c:pt>
                <c:pt idx="55">
                  <c:v>9,12%</c:v>
                </c:pt>
                <c:pt idx="56">
                  <c:v>9,22%</c:v>
                </c:pt>
                <c:pt idx="57">
                  <c:v>9,32%</c:v>
                </c:pt>
                <c:pt idx="58">
                  <c:v>9,42%</c:v>
                </c:pt>
                <c:pt idx="59">
                  <c:v>9,52%</c:v>
                </c:pt>
                <c:pt idx="60">
                  <c:v>9,62%</c:v>
                </c:pt>
                <c:pt idx="61">
                  <c:v>9,72%</c:v>
                </c:pt>
                <c:pt idx="62">
                  <c:v>9,82%</c:v>
                </c:pt>
                <c:pt idx="63">
                  <c:v>9,92%</c:v>
                </c:pt>
                <c:pt idx="64">
                  <c:v>10,02%</c:v>
                </c:pt>
                <c:pt idx="65">
                  <c:v>10,12%</c:v>
                </c:pt>
                <c:pt idx="66">
                  <c:v>10,22%</c:v>
                </c:pt>
                <c:pt idx="67">
                  <c:v>10,32%</c:v>
                </c:pt>
                <c:pt idx="68">
                  <c:v>10,42%</c:v>
                </c:pt>
                <c:pt idx="69">
                  <c:v>10,52%</c:v>
                </c:pt>
                <c:pt idx="70">
                  <c:v>10,62%</c:v>
                </c:pt>
                <c:pt idx="71">
                  <c:v>10,72%</c:v>
                </c:pt>
                <c:pt idx="72">
                  <c:v>10,82%</c:v>
                </c:pt>
                <c:pt idx="73">
                  <c:v>10,92%</c:v>
                </c:pt>
                <c:pt idx="74">
                  <c:v>11,02%</c:v>
                </c:pt>
                <c:pt idx="75">
                  <c:v>11,12%</c:v>
                </c:pt>
                <c:pt idx="76">
                  <c:v>11,22%</c:v>
                </c:pt>
                <c:pt idx="77">
                  <c:v>11,32%</c:v>
                </c:pt>
                <c:pt idx="78">
                  <c:v>11,42%</c:v>
                </c:pt>
                <c:pt idx="79">
                  <c:v>11,52%</c:v>
                </c:pt>
                <c:pt idx="80">
                  <c:v>11,62%</c:v>
                </c:pt>
                <c:pt idx="81">
                  <c:v>11,72%</c:v>
                </c:pt>
              </c:strCache>
            </c:strRef>
          </c:xVal>
          <c:yVal>
            <c:numRef>
              <c:f>'Efficient Frontier'!$M$2:$M$83</c:f>
              <c:numCache>
                <c:formatCode>0.00%</c:formatCode>
                <c:ptCount val="82"/>
                <c:pt idx="0" formatCode="General">
                  <c:v>0</c:v>
                </c:pt>
                <c:pt idx="1">
                  <c:v>4.7981640724631359E-3</c:v>
                </c:pt>
                <c:pt idx="2">
                  <c:v>7.2248010415238931E-3</c:v>
                </c:pt>
                <c:pt idx="3">
                  <c:v>8.2526557801059098E-3</c:v>
                </c:pt>
                <c:pt idx="4">
                  <c:v>9.0566659141535812E-3</c:v>
                </c:pt>
                <c:pt idx="5">
                  <c:v>9.7471581027825417E-3</c:v>
                </c:pt>
                <c:pt idx="6">
                  <c:v>1.0366523335975254E-2</c:v>
                </c:pt>
                <c:pt idx="7">
                  <c:v>1.0936330481244608E-2</c:v>
                </c:pt>
                <c:pt idx="8">
                  <c:v>1.146929050172478E-2</c:v>
                </c:pt>
                <c:pt idx="9">
                  <c:v>1.1973618609106869E-2</c:v>
                </c:pt>
                <c:pt idx="10">
                  <c:v>1.2454974555858749E-2</c:v>
                </c:pt>
                <c:pt idx="11">
                  <c:v>1.2917445121224825E-2</c:v>
                </c:pt>
                <c:pt idx="12">
                  <c:v>1.3364089691908616E-2</c:v>
                </c:pt>
                <c:pt idx="13">
                  <c:v>1.3797265010107522E-2</c:v>
                </c:pt>
                <c:pt idx="14">
                  <c:v>1.4218829264099002E-2</c:v>
                </c:pt>
                <c:pt idx="15">
                  <c:v>1.4630276084581138E-2</c:v>
                </c:pt>
                <c:pt idx="16">
                  <c:v>1.5032825746584003E-2</c:v>
                </c:pt>
                <c:pt idx="17">
                  <c:v>1.5427489147346769E-2</c:v>
                </c:pt>
                <c:pt idx="18">
                  <c:v>1.5815113854972321E-2</c:v>
                </c:pt>
                <c:pt idx="19">
                  <c:v>1.6196417994536309E-2</c:v>
                </c:pt>
                <c:pt idx="20">
                  <c:v>1.6572015669656451E-2</c:v>
                </c:pt>
                <c:pt idx="21">
                  <c:v>1.6942436359939018E-2</c:v>
                </c:pt>
                <c:pt idx="22">
                  <c:v>1.7308139945778227E-2</c:v>
                </c:pt>
                <c:pt idx="23">
                  <c:v>1.7669528503184716E-2</c:v>
                </c:pt>
                <c:pt idx="24">
                  <c:v>1.8026955675059027E-2</c:v>
                </c:pt>
                <c:pt idx="25">
                  <c:v>1.8380734198191417E-2</c:v>
                </c:pt>
                <c:pt idx="26">
                  <c:v>1.8731142008808585E-2</c:v>
                </c:pt>
                <c:pt idx="27">
                  <c:v>1.9078427239786061E-2</c:v>
                </c:pt>
                <c:pt idx="28">
                  <c:v>1.9422812344481798E-2</c:v>
                </c:pt>
                <c:pt idx="29">
                  <c:v>1.9764497525632786E-2</c:v>
                </c:pt>
                <c:pt idx="30">
                  <c:v>2.0103663606343743E-2</c:v>
                </c:pt>
                <c:pt idx="31">
                  <c:v>2.0440474449473365E-2</c:v>
                </c:pt>
                <c:pt idx="32">
                  <c:v>2.0775079008669445E-2</c:v>
                </c:pt>
                <c:pt idx="33">
                  <c:v>2.1107613076821637E-2</c:v>
                </c:pt>
                <c:pt idx="34">
                  <c:v>2.1438200784313164E-2</c:v>
                </c:pt>
                <c:pt idx="35">
                  <c:v>2.1766955889107327E-2</c:v>
                </c:pt>
                <c:pt idx="36">
                  <c:v>2.2093982892641986E-2</c:v>
                </c:pt>
                <c:pt idx="37">
                  <c:v>2.2419378009171438E-2</c:v>
                </c:pt>
                <c:pt idx="38">
                  <c:v>2.274323001118236E-2</c:v>
                </c:pt>
                <c:pt idx="39">
                  <c:v>2.3065620969515522E-2</c:v>
                </c:pt>
                <c:pt idx="40">
                  <c:v>2.3386626903620009E-2</c:v>
                </c:pt>
                <c:pt idx="41">
                  <c:v>2.3706318354779595E-2</c:v>
                </c:pt>
                <c:pt idx="42">
                  <c:v>2.4024760893050289E-2</c:v>
                </c:pt>
                <c:pt idx="43">
                  <c:v>2.4342015566932936E-2</c:v>
                </c:pt>
                <c:pt idx="44">
                  <c:v>2.4658139303397213E-2</c:v>
                </c:pt>
                <c:pt idx="45">
                  <c:v>2.4973185264711945E-2</c:v>
                </c:pt>
                <c:pt idx="46">
                  <c:v>2.5287203167574698E-2</c:v>
                </c:pt>
                <c:pt idx="47">
                  <c:v>2.5600239569232186E-2</c:v>
                </c:pt>
                <c:pt idx="48">
                  <c:v>2.5912338124613427E-2</c:v>
                </c:pt>
                <c:pt idx="49">
                  <c:v>2.6223539817935182E-2</c:v>
                </c:pt>
                <c:pt idx="50">
                  <c:v>2.6533883171765436E-2</c:v>
                </c:pt>
                <c:pt idx="51">
                  <c:v>2.6843404436129755E-2</c:v>
                </c:pt>
                <c:pt idx="52">
                  <c:v>2.7152137759905038E-2</c:v>
                </c:pt>
                <c:pt idx="53">
                  <c:v>2.7460115346455451E-2</c:v>
                </c:pt>
                <c:pt idx="54">
                  <c:v>2.7767367595217397E-2</c:v>
                </c:pt>
                <c:pt idx="55">
                  <c:v>2.8073923230728191E-2</c:v>
                </c:pt>
                <c:pt idx="56">
                  <c:v>2.8379809420410348E-2</c:v>
                </c:pt>
                <c:pt idx="57">
                  <c:v>2.8685051882266006E-2</c:v>
                </c:pt>
                <c:pt idx="58">
                  <c:v>2.8989674983499792E-2</c:v>
                </c:pt>
                <c:pt idx="59">
                  <c:v>2.9293701830970294E-2</c:v>
                </c:pt>
                <c:pt idx="60">
                  <c:v>2.9597154354267807E-2</c:v>
                </c:pt>
                <c:pt idx="61">
                  <c:v>2.990005338212632E-2</c:v>
                </c:pt>
                <c:pt idx="62">
                  <c:v>3.0202418712799887E-2</c:v>
                </c:pt>
                <c:pt idx="63">
                  <c:v>3.0504269178964732E-2</c:v>
                </c:pt>
                <c:pt idx="64">
                  <c:v>3.0805622707648764E-2</c:v>
                </c:pt>
                <c:pt idx="65">
                  <c:v>3.1106496375637043E-2</c:v>
                </c:pt>
                <c:pt idx="66">
                  <c:v>3.1406906460755446E-2</c:v>
                </c:pt>
                <c:pt idx="67">
                  <c:v>3.1706868489393573E-2</c:v>
                </c:pt>
                <c:pt idx="68">
                  <c:v>3.2006397280591653E-2</c:v>
                </c:pt>
                <c:pt idx="69">
                  <c:v>3.2305506986983819E-2</c:v>
                </c:pt>
                <c:pt idx="70">
                  <c:v>3.2604211132861764E-2</c:v>
                </c:pt>
                <c:pt idx="71">
                  <c:v>3.2902522649597088E-2</c:v>
                </c:pt>
                <c:pt idx="72">
                  <c:v>3.3200453908638149E-2</c:v>
                </c:pt>
                <c:pt idx="73">
                  <c:v>3.3498016752276774E-2</c:v>
                </c:pt>
                <c:pt idx="74">
                  <c:v>3.379522252236232E-2</c:v>
                </c:pt>
                <c:pt idx="75">
                  <c:v>3.4092082087124151E-2</c:v>
                </c:pt>
                <c:pt idx="76">
                  <c:v>3.4388605866249186E-2</c:v>
                </c:pt>
                <c:pt idx="77">
                  <c:v>3.4684803854348079E-2</c:v>
                </c:pt>
                <c:pt idx="78">
                  <c:v>3.4980685642931747E-2</c:v>
                </c:pt>
                <c:pt idx="79">
                  <c:v>3.5276260441009614E-2</c:v>
                </c:pt>
                <c:pt idx="80">
                  <c:v>3.5571537094411139E-2</c:v>
                </c:pt>
                <c:pt idx="81">
                  <c:v>3.58665241039237E-2</c:v>
                </c:pt>
              </c:numCache>
            </c:numRef>
          </c:yVal>
          <c:smooth val="0"/>
          <c:extLst>
            <c:ext xmlns:c16="http://schemas.microsoft.com/office/drawing/2014/chart" uri="{C3380CC4-5D6E-409C-BE32-E72D297353CC}">
              <c16:uniqueId val="{00000000-8A40-42C6-8621-7A8E028183FF}"/>
            </c:ext>
          </c:extLst>
        </c:ser>
        <c:dLbls>
          <c:showLegendKey val="0"/>
          <c:showVal val="0"/>
          <c:showCatName val="0"/>
          <c:showSerName val="0"/>
          <c:showPercent val="0"/>
          <c:showBubbleSize val="0"/>
        </c:dLbls>
        <c:axId val="504622656"/>
        <c:axId val="602745680"/>
      </c:scatterChart>
      <c:valAx>
        <c:axId val="504622656"/>
        <c:scaling>
          <c:orientation val="minMax"/>
        </c:scaling>
        <c:delete val="0"/>
        <c:axPos val="b"/>
        <c:majorGridlines>
          <c:spPr>
            <a:ln w="9525" cap="flat" cmpd="sng" algn="ctr">
              <a:solidFill>
                <a:schemeClr val="tx1">
                  <a:lumMod val="15000"/>
                  <a:lumOff val="85000"/>
                </a:schemeClr>
              </a:solidFill>
              <a:round/>
            </a:ln>
            <a:effectLst/>
          </c:spPr>
        </c:majorGridlines>
        <c:title>
          <c:tx>
            <c:strRef>
              <c:f>'[1]Efficient frontier'!$L$2</c:f>
              <c:strCache>
                <c:ptCount val="1"/>
                <c:pt idx="0">
                  <c:v>#REF!</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T"/>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crossAx val="602745680"/>
        <c:crosses val="autoZero"/>
        <c:crossBetween val="midCat"/>
      </c:valAx>
      <c:valAx>
        <c:axId val="602745680"/>
        <c:scaling>
          <c:orientation val="minMax"/>
        </c:scaling>
        <c:delete val="0"/>
        <c:axPos val="l"/>
        <c:majorGridlines>
          <c:spPr>
            <a:ln w="9525" cap="flat" cmpd="sng" algn="ctr">
              <a:solidFill>
                <a:schemeClr val="tx1">
                  <a:lumMod val="15000"/>
                  <a:lumOff val="85000"/>
                </a:schemeClr>
              </a:solidFill>
              <a:round/>
            </a:ln>
            <a:effectLst/>
          </c:spPr>
        </c:majorGridlines>
        <c:title>
          <c:tx>
            <c:strRef>
              <c:f>'[1]Efficient frontier'!$M$2</c:f>
              <c:strCache>
                <c:ptCount val="1"/>
                <c:pt idx="0">
                  <c:v>#REF!</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T"/>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crossAx val="5046226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I$3" horiz="1" max="100" page="10" val="19"/>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xdr:rowOff>
    </xdr:from>
    <xdr:to>
      <xdr:col>16</xdr:col>
      <xdr:colOff>95250</xdr:colOff>
      <xdr:row>17</xdr:row>
      <xdr:rowOff>125803</xdr:rowOff>
    </xdr:to>
    <xdr:sp macro="" textlink="">
      <xdr:nvSpPr>
        <xdr:cNvPr id="2" name="TextBox 1">
          <a:extLst>
            <a:ext uri="{FF2B5EF4-FFF2-40B4-BE49-F238E27FC236}">
              <a16:creationId xmlns:a16="http://schemas.microsoft.com/office/drawing/2014/main" id="{DF4E122A-E31F-D81D-E96E-6C7026681195}"/>
            </a:ext>
          </a:extLst>
        </xdr:cNvPr>
        <xdr:cNvSpPr txBox="1"/>
      </xdr:nvSpPr>
      <xdr:spPr>
        <a:xfrm>
          <a:off x="0" y="1"/>
          <a:ext cx="9871854"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a:t>This workbook is designed to help users evaluate and compare multiple investment projects based on </a:t>
          </a:r>
          <a:r>
            <a:rPr lang="en-GB" b="1"/>
            <a:t>Net Present Value (NPV)</a:t>
          </a:r>
          <a:r>
            <a:rPr lang="en-GB"/>
            <a:t> and </a:t>
          </a:r>
          <a:r>
            <a:rPr lang="en-GB" b="1"/>
            <a:t>Internal Rate of Return (IRR)</a:t>
          </a:r>
          <a:r>
            <a:rPr lang="en-GB"/>
            <a:t>. It includes tools for data entry, automated calculations, and a dynamically updating chart to visualize investment performance.</a:t>
          </a:r>
        </a:p>
        <a:p>
          <a:r>
            <a:rPr lang="en-GB"/>
            <a:t>The workbook has three primary macros:</a:t>
          </a:r>
        </a:p>
        <a:p>
          <a:r>
            <a:rPr lang="en-GB" b="1"/>
            <a:t>Enter Data of Investments</a:t>
          </a:r>
          <a:r>
            <a:rPr lang="en-GB"/>
            <a:t> - Allows users to input investment data, calculates NPV and IRR, and ranks each project.</a:t>
          </a:r>
        </a:p>
        <a:p>
          <a:r>
            <a:rPr lang="en-GB" b="1"/>
            <a:t>Clean Data</a:t>
          </a:r>
          <a:r>
            <a:rPr lang="en-GB"/>
            <a:t> - Clears all entered data and results, preparing the sheet for new entries.</a:t>
          </a:r>
        </a:p>
        <a:p>
          <a:r>
            <a:rPr lang="en-GB" b="1"/>
            <a:t>Create Clustered Column Chart</a:t>
          </a:r>
          <a:r>
            <a:rPr lang="en-GB"/>
            <a:t> - Creates a side-by-side clustered column chart to compare NPV and IRR for each investment.</a:t>
          </a:r>
        </a:p>
        <a:p>
          <a:endParaRPr lang="en-GB"/>
        </a:p>
        <a:p>
          <a:r>
            <a:rPr lang="en-GB"/>
            <a:t>Additionally, the EnterData macro triggers the </a:t>
          </a:r>
          <a:r>
            <a:rPr lang="en-GB" b="1"/>
            <a:t>Create Clustered Column Chart</a:t>
          </a:r>
          <a:r>
            <a:rPr lang="en-GB"/>
            <a:t> macro within its code. This creates a dynamic, side-by-side clustered column chart below the Results Table, visually comparing each investment’s NPV and IRR values. This integration ensures that the chart updates every time new data is entered.The macro code is fully annotated with comments to explain each step, making it easy to follow or modify as needed.</a:t>
          </a:r>
        </a:p>
        <a:p>
          <a:endParaRPr lang="en-GB"/>
        </a:p>
        <a:p>
          <a:r>
            <a:rPr lang="en-GB"/>
            <a:t>Users also have the flexibility to modify entries in the </a:t>
          </a:r>
          <a:r>
            <a:rPr lang="en-GB" b="1"/>
            <a:t>Data Table</a:t>
          </a:r>
          <a:r>
            <a:rPr lang="en-GB"/>
            <a:t> (starting in cell </a:t>
          </a:r>
          <a:r>
            <a:rPr lang="en-GB" b="1"/>
            <a:t>J8</a:t>
          </a:r>
          <a:r>
            <a:rPr lang="en-GB"/>
            <a:t>), where the initial investment and cash flows for each project are stored. Changes made in the Data Table will automatically update the Results Table and chart, providing real-time adjustments without re-running the macro.</a:t>
          </a:r>
        </a:p>
        <a:p>
          <a:endParaRPr lang="en-GB"/>
        </a:p>
        <a:p>
          <a:r>
            <a:rPr lang="en-GB"/>
            <a:t>The workbook includes a </a:t>
          </a:r>
          <a:r>
            <a:rPr lang="en-GB" b="1"/>
            <a:t>slider button</a:t>
          </a:r>
          <a:r>
            <a:rPr lang="en-GB"/>
            <a:t> next to the "Discount Rate" label (in cell </a:t>
          </a:r>
          <a:r>
            <a:rPr lang="en-GB" b="1"/>
            <a:t>G4</a:t>
          </a:r>
          <a:r>
            <a:rPr lang="en-GB"/>
            <a:t>) that allows users to quickly adjust the discount rate. This adjustment dynamically updates the NPV calculations in the Results Table, offering a convenient way to observe how different rates impact investment outcomes.</a:t>
          </a:r>
        </a:p>
        <a:p>
          <a:endParaRPr lang="en-GB"/>
        </a:p>
        <a:p>
          <a:r>
            <a:rPr lang="en-GB"/>
            <a:t>Detailed comments in the VBA code help users understand the workings of each macro, and the layout ensures that all relevant data, calculations, and visualizations are clearly displayed and easy to interpret.</a:t>
          </a:r>
        </a:p>
        <a:p>
          <a:endParaRPr lang="en-GB"/>
        </a:p>
        <a:p>
          <a:endParaRPr lang="en-GB"/>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80211</xdr:colOff>
      <xdr:row>0</xdr:row>
      <xdr:rowOff>70185</xdr:rowOff>
    </xdr:from>
    <xdr:to>
      <xdr:col>2</xdr:col>
      <xdr:colOff>711868</xdr:colOff>
      <xdr:row>4</xdr:row>
      <xdr:rowOff>80211</xdr:rowOff>
    </xdr:to>
    <xdr:sp macro="[0]!EnterData" textlink="">
      <xdr:nvSpPr>
        <xdr:cNvPr id="3" name="Rectangle: Rounded Corners 2">
          <a:extLst>
            <a:ext uri="{FF2B5EF4-FFF2-40B4-BE49-F238E27FC236}">
              <a16:creationId xmlns:a16="http://schemas.microsoft.com/office/drawing/2014/main" id="{E4B03D2C-D746-9351-3EAA-4163D2AE4847}"/>
            </a:ext>
          </a:extLst>
        </xdr:cNvPr>
        <xdr:cNvSpPr/>
      </xdr:nvSpPr>
      <xdr:spPr>
        <a:xfrm>
          <a:off x="80211" y="70185"/>
          <a:ext cx="3649578" cy="77202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latin typeface="Poppins" panose="02000000000000000000" pitchFamily="2" charset="0"/>
              <a:cs typeface="Poppins" panose="02000000000000000000" pitchFamily="2" charset="0"/>
            </a:rPr>
            <a:t>Enter</a:t>
          </a:r>
          <a:r>
            <a:rPr lang="en-GB" sz="1800" b="1" baseline="0">
              <a:latin typeface="Poppins" panose="02000000000000000000" pitchFamily="2" charset="0"/>
              <a:cs typeface="Poppins" panose="02000000000000000000" pitchFamily="2" charset="0"/>
            </a:rPr>
            <a:t> Data of Investments</a:t>
          </a:r>
          <a:endParaRPr lang="en-GB" sz="1800" b="1">
            <a:latin typeface="Poppins" panose="02000000000000000000" pitchFamily="2" charset="0"/>
            <a:cs typeface="Poppins" panose="020000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1038225</xdr:colOff>
          <xdr:row>1</xdr:row>
          <xdr:rowOff>123825</xdr:rowOff>
        </xdr:from>
        <xdr:to>
          <xdr:col>5</xdr:col>
          <xdr:colOff>295275</xdr:colOff>
          <xdr:row>4</xdr:row>
          <xdr:rowOff>28575</xdr:rowOff>
        </xdr:to>
        <xdr:sp macro="" textlink="">
          <xdr:nvSpPr>
            <xdr:cNvPr id="2051" name="Scroll Bar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9</xdr:col>
      <xdr:colOff>190500</xdr:colOff>
      <xdr:row>0</xdr:row>
      <xdr:rowOff>140368</xdr:rowOff>
    </xdr:from>
    <xdr:to>
      <xdr:col>12</xdr:col>
      <xdr:colOff>170446</xdr:colOff>
      <xdr:row>4</xdr:row>
      <xdr:rowOff>150394</xdr:rowOff>
    </xdr:to>
    <xdr:sp macro="[0]!CleanData" textlink="">
      <xdr:nvSpPr>
        <xdr:cNvPr id="4" name="Rectangle: Rounded Corners 3">
          <a:extLst>
            <a:ext uri="{FF2B5EF4-FFF2-40B4-BE49-F238E27FC236}">
              <a16:creationId xmlns:a16="http://schemas.microsoft.com/office/drawing/2014/main" id="{C83CD3E8-A92B-4D77-8D4C-EBE06A168753}"/>
            </a:ext>
          </a:extLst>
        </xdr:cNvPr>
        <xdr:cNvSpPr/>
      </xdr:nvSpPr>
      <xdr:spPr>
        <a:xfrm>
          <a:off x="11049000" y="140368"/>
          <a:ext cx="3649578" cy="77202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latin typeface="Poppins" panose="02000000000000000000" pitchFamily="2" charset="0"/>
              <a:cs typeface="Poppins" panose="02000000000000000000" pitchFamily="2" charset="0"/>
            </a:rPr>
            <a:t>Clean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644769</xdr:colOff>
      <xdr:row>0</xdr:row>
      <xdr:rowOff>70172</xdr:rowOff>
    </xdr:from>
    <xdr:to>
      <xdr:col>8</xdr:col>
      <xdr:colOff>556712</xdr:colOff>
      <xdr:row>13</xdr:row>
      <xdr:rowOff>34795</xdr:rowOff>
    </xdr:to>
    <xdr:sp macro="" textlink="">
      <xdr:nvSpPr>
        <xdr:cNvPr id="2" name="TextBox 1">
          <a:extLst>
            <a:ext uri="{FF2B5EF4-FFF2-40B4-BE49-F238E27FC236}">
              <a16:creationId xmlns:a16="http://schemas.microsoft.com/office/drawing/2014/main" id="{CD03DC3E-E0C5-4297-BD90-76E8BDB98069}"/>
            </a:ext>
          </a:extLst>
        </xdr:cNvPr>
        <xdr:cNvSpPr txBox="1"/>
      </xdr:nvSpPr>
      <xdr:spPr>
        <a:xfrm>
          <a:off x="5237646" y="70172"/>
          <a:ext cx="6522902" cy="24524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u="none" strike="noStrike">
              <a:solidFill>
                <a:schemeClr val="dk1"/>
              </a:solidFill>
              <a:effectLst/>
              <a:latin typeface="+mn-lt"/>
              <a:ea typeface="+mn-ea"/>
              <a:cs typeface="+mn-cs"/>
            </a:rPr>
            <a:t>In this initial workbook, users can customize their stock analysis by selecting specific parameters: the observation period (start and end dates), the observation frequency (either monthly or weekly), and a reference benchmark for comparison. These options are made available through Excel's data validation feature, which allows us to create drop-down lists for easy selection. By setting up these lists, we ensure that users can quickly choose dates, frequency, and benchmarks from predefined options, reducing the risk of input errors and enhancing the overall usability of the workbook.</a:t>
          </a:r>
          <a:endParaRPr lang="en-GB" sz="1600" kern="12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20</xdr:col>
      <xdr:colOff>1263226</xdr:colOff>
      <xdr:row>7</xdr:row>
      <xdr:rowOff>3387</xdr:rowOff>
    </xdr:from>
    <xdr:to>
      <xdr:col>27</xdr:col>
      <xdr:colOff>545253</xdr:colOff>
      <xdr:row>10</xdr:row>
      <xdr:rowOff>3387</xdr:rowOff>
    </xdr:to>
    <xdr:sp macro="" textlink="">
      <xdr:nvSpPr>
        <xdr:cNvPr id="2" name="TextBox 1">
          <a:extLst>
            <a:ext uri="{FF2B5EF4-FFF2-40B4-BE49-F238E27FC236}">
              <a16:creationId xmlns:a16="http://schemas.microsoft.com/office/drawing/2014/main" id="{4C4289DC-32E1-4F95-A75F-C505061BFABD}"/>
            </a:ext>
          </a:extLst>
        </xdr:cNvPr>
        <xdr:cNvSpPr txBox="1"/>
      </xdr:nvSpPr>
      <xdr:spPr>
        <a:xfrm>
          <a:off x="12397951" y="1336887"/>
          <a:ext cx="4092152"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a:t>
          </a:r>
          <a:r>
            <a:rPr lang="en-GB" sz="1100">
              <a:solidFill>
                <a:schemeClr val="dk1"/>
              </a:solidFill>
              <a:effectLst/>
              <a:latin typeface="+mn-lt"/>
              <a:ea typeface="+mn-ea"/>
              <a:cs typeface="+mn-cs"/>
            </a:rPr>
            <a:t>beta of each stock relative to an index of choice, as well as the correlations and covariances</a:t>
          </a:r>
          <a:r>
            <a:rPr lang="en-GB" sz="1100" baseline="0">
              <a:solidFill>
                <a:schemeClr val="dk1"/>
              </a:solidFill>
              <a:effectLst/>
              <a:latin typeface="+mn-lt"/>
              <a:ea typeface="+mn-ea"/>
              <a:cs typeface="+mn-cs"/>
            </a:rPr>
            <a:t> </a:t>
          </a:r>
          <a:r>
            <a:rPr lang="en-GB" sz="1100">
              <a:solidFill>
                <a:schemeClr val="dk1"/>
              </a:solidFill>
              <a:effectLst/>
              <a:latin typeface="+mn-lt"/>
              <a:ea typeface="+mn-ea"/>
              <a:cs typeface="+mn-cs"/>
            </a:rPr>
            <a:t>between the stocks.</a:t>
          </a:r>
        </a:p>
        <a:p>
          <a:endParaRPr lang="en-GB" sz="1100" kern="1200"/>
        </a:p>
      </xdr:txBody>
    </xdr:sp>
    <xdr:clientData/>
  </xdr:twoCellAnchor>
  <xdr:twoCellAnchor>
    <xdr:from>
      <xdr:col>7</xdr:col>
      <xdr:colOff>389467</xdr:colOff>
      <xdr:row>0</xdr:row>
      <xdr:rowOff>169332</xdr:rowOff>
    </xdr:from>
    <xdr:to>
      <xdr:col>10</xdr:col>
      <xdr:colOff>609600</xdr:colOff>
      <xdr:row>14</xdr:row>
      <xdr:rowOff>84666</xdr:rowOff>
    </xdr:to>
    <xdr:sp macro="" textlink="">
      <xdr:nvSpPr>
        <xdr:cNvPr id="3" name="TextBox 2">
          <a:extLst>
            <a:ext uri="{FF2B5EF4-FFF2-40B4-BE49-F238E27FC236}">
              <a16:creationId xmlns:a16="http://schemas.microsoft.com/office/drawing/2014/main" id="{6AE3D8C8-F9D6-414B-BEF4-CF443BE35AF8}"/>
            </a:ext>
          </a:extLst>
        </xdr:cNvPr>
        <xdr:cNvSpPr txBox="1"/>
      </xdr:nvSpPr>
      <xdr:spPr>
        <a:xfrm>
          <a:off x="4523317" y="169332"/>
          <a:ext cx="1972733" cy="25823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You</a:t>
          </a:r>
          <a:r>
            <a:rPr lang="en-GB" sz="1100" b="0" i="0" u="none" strike="noStrike" baseline="0">
              <a:solidFill>
                <a:schemeClr val="dk1"/>
              </a:solidFill>
              <a:effectLst/>
              <a:latin typeface="+mn-lt"/>
              <a:ea typeface="+mn-ea"/>
              <a:cs typeface="+mn-cs"/>
            </a:rPr>
            <a:t> </a:t>
          </a:r>
          <a:r>
            <a:rPr lang="en-GB" sz="1100" b="0" i="0" u="none" strike="noStrike">
              <a:solidFill>
                <a:schemeClr val="dk1"/>
              </a:solidFill>
              <a:effectLst/>
              <a:latin typeface="+mn-lt"/>
              <a:ea typeface="+mn-ea"/>
              <a:cs typeface="+mn-cs"/>
            </a:rPr>
            <a:t>can select a stock for each category from a list of five options or any other stocks. Once selections are made, you’ll be able to view the returns based on the parameters previously defined, such as the observation period and frequency (monthly or weekly). This setup allows for a customized and flexible analysis, tailoring the return data to your preferences and providing a clear, detailed overview of the performance of the chosen stocks</a:t>
          </a:r>
          <a:endParaRPr lang="en-GB" sz="1100" kern="1200"/>
        </a:p>
      </xdr:txBody>
    </xdr:sp>
    <xdr:clientData/>
  </xdr:twoCellAnchor>
  <xdr:twoCellAnchor>
    <xdr:from>
      <xdr:col>28</xdr:col>
      <xdr:colOff>508000</xdr:colOff>
      <xdr:row>0</xdr:row>
      <xdr:rowOff>50800</xdr:rowOff>
    </xdr:from>
    <xdr:to>
      <xdr:col>35</xdr:col>
      <xdr:colOff>237066</xdr:colOff>
      <xdr:row>10</xdr:row>
      <xdr:rowOff>50800</xdr:rowOff>
    </xdr:to>
    <xdr:sp macro="" textlink="">
      <xdr:nvSpPr>
        <xdr:cNvPr id="4" name="TextBox 3">
          <a:extLst>
            <a:ext uri="{FF2B5EF4-FFF2-40B4-BE49-F238E27FC236}">
              <a16:creationId xmlns:a16="http://schemas.microsoft.com/office/drawing/2014/main" id="{14E2124B-159E-4F1B-89D0-BFBDDBB5228A}"/>
            </a:ext>
          </a:extLst>
        </xdr:cNvPr>
        <xdr:cNvSpPr txBox="1"/>
      </xdr:nvSpPr>
      <xdr:spPr>
        <a:xfrm>
          <a:off x="17043400" y="50800"/>
          <a:ext cx="3862916" cy="1905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After setting the parameters, the workbook should display the following for each selected stock:</a:t>
          </a:r>
        </a:p>
        <a:p>
          <a:r>
            <a:rPr lang="en-GB" sz="1100" b="1" i="0" u="none" strike="noStrike">
              <a:solidFill>
                <a:schemeClr val="dk1"/>
              </a:solidFill>
              <a:effectLst/>
              <a:latin typeface="+mn-lt"/>
              <a:ea typeface="+mn-ea"/>
              <a:cs typeface="+mn-cs"/>
            </a:rPr>
            <a:t>Expected Return</a:t>
          </a:r>
          <a:r>
            <a:rPr lang="en-GB" sz="1100" b="0" i="0" u="none" strike="noStrike">
              <a:solidFill>
                <a:schemeClr val="dk1"/>
              </a:solidFill>
              <a:effectLst/>
              <a:latin typeface="+mn-lt"/>
              <a:ea typeface="+mn-ea"/>
              <a:cs typeface="+mn-cs"/>
            </a:rPr>
            <a:t>: The calculated average return based on the chosen period and frequency.</a:t>
          </a:r>
        </a:p>
        <a:p>
          <a:r>
            <a:rPr lang="en-GB" sz="1100" b="1" i="0" u="none" strike="noStrike">
              <a:solidFill>
                <a:schemeClr val="dk1"/>
              </a:solidFill>
              <a:effectLst/>
              <a:latin typeface="+mn-lt"/>
              <a:ea typeface="+mn-ea"/>
              <a:cs typeface="+mn-cs"/>
            </a:rPr>
            <a:t>Standard Deviation</a:t>
          </a:r>
          <a:r>
            <a:rPr lang="en-GB" sz="1100" b="0" i="0" u="none" strike="noStrike">
              <a:solidFill>
                <a:schemeClr val="dk1"/>
              </a:solidFill>
              <a:effectLst/>
              <a:latin typeface="+mn-lt"/>
              <a:ea typeface="+mn-ea"/>
              <a:cs typeface="+mn-cs"/>
            </a:rPr>
            <a:t>: A measure of each stock’s volatility, based on the selected parameters.</a:t>
          </a:r>
        </a:p>
        <a:p>
          <a:r>
            <a:rPr lang="en-GB" sz="1100" b="1" i="0" u="none" strike="noStrike">
              <a:solidFill>
                <a:schemeClr val="dk1"/>
              </a:solidFill>
              <a:effectLst/>
              <a:latin typeface="+mn-lt"/>
              <a:ea typeface="+mn-ea"/>
              <a:cs typeface="+mn-cs"/>
            </a:rPr>
            <a:t>Beta Relative to the Benchmark</a:t>
          </a:r>
          <a:r>
            <a:rPr lang="en-GB" sz="1100" b="0" i="0" u="none" strike="noStrike">
              <a:solidFill>
                <a:schemeClr val="dk1"/>
              </a:solidFill>
              <a:effectLst/>
              <a:latin typeface="+mn-lt"/>
              <a:ea typeface="+mn-ea"/>
              <a:cs typeface="+mn-cs"/>
            </a:rPr>
            <a:t>: The stock’s sensitivity to the chosen benchmark, indicating its comparative risk.</a:t>
          </a:r>
        </a:p>
        <a:p>
          <a:r>
            <a:rPr lang="en-GB" sz="1100" b="0" i="0" u="none" strike="noStrike">
              <a:solidFill>
                <a:schemeClr val="dk1"/>
              </a:solidFill>
              <a:effectLst/>
              <a:latin typeface="+mn-lt"/>
              <a:ea typeface="+mn-ea"/>
              <a:cs typeface="+mn-cs"/>
            </a:rPr>
            <a:t>Examine Correlation and Covariance Matrices:</a:t>
          </a:r>
        </a:p>
        <a:p>
          <a:r>
            <a:rPr lang="en-GB" sz="1100" b="0" i="0" u="none" strike="noStrike">
              <a:solidFill>
                <a:schemeClr val="dk1"/>
              </a:solidFill>
              <a:effectLst/>
              <a:latin typeface="+mn-lt"/>
              <a:ea typeface="+mn-ea"/>
              <a:cs typeface="+mn-cs"/>
            </a:rPr>
            <a:t>The workbook generates correlation and covariance matrices for the selected stocks, allowing the user to observe relationships between them. These matrices should dynamically adjust based on the chosen stocks, observation frequency, and date range.</a:t>
          </a:r>
        </a:p>
        <a:p>
          <a:endParaRPr lang="en-GB" sz="1100" kern="1200"/>
        </a:p>
      </xdr:txBody>
    </xdr:sp>
    <xdr:clientData/>
  </xdr:twoCellAnchor>
  <xdr:twoCellAnchor>
    <xdr:from>
      <xdr:col>30</xdr:col>
      <xdr:colOff>1</xdr:colOff>
      <xdr:row>11</xdr:row>
      <xdr:rowOff>42334</xdr:rowOff>
    </xdr:from>
    <xdr:to>
      <xdr:col>35</xdr:col>
      <xdr:colOff>372534</xdr:colOff>
      <xdr:row>25</xdr:row>
      <xdr:rowOff>177800</xdr:rowOff>
    </xdr:to>
    <xdr:graphicFrame macro="">
      <xdr:nvGraphicFramePr>
        <xdr:cNvPr id="5" name="Chart 4">
          <a:extLst>
            <a:ext uri="{FF2B5EF4-FFF2-40B4-BE49-F238E27FC236}">
              <a16:creationId xmlns:a16="http://schemas.microsoft.com/office/drawing/2014/main" id="{47ED2111-F67D-4841-AD35-6DAC1DC421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463550</xdr:colOff>
      <xdr:row>4</xdr:row>
      <xdr:rowOff>95250</xdr:rowOff>
    </xdr:from>
    <xdr:to>
      <xdr:col>12</xdr:col>
      <xdr:colOff>6350</xdr:colOff>
      <xdr:row>18</xdr:row>
      <xdr:rowOff>171450</xdr:rowOff>
    </xdr:to>
    <xdr:graphicFrame macro="">
      <xdr:nvGraphicFramePr>
        <xdr:cNvPr id="2" name="Chart 1">
          <a:extLst>
            <a:ext uri="{FF2B5EF4-FFF2-40B4-BE49-F238E27FC236}">
              <a16:creationId xmlns:a16="http://schemas.microsoft.com/office/drawing/2014/main" id="{84CAD16D-1E4D-4201-B0AF-FC0F6B2738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266700</xdr:colOff>
      <xdr:row>22</xdr:row>
      <xdr:rowOff>12700</xdr:rowOff>
    </xdr:from>
    <xdr:to>
      <xdr:col>5</xdr:col>
      <xdr:colOff>749300</xdr:colOff>
      <xdr:row>33</xdr:row>
      <xdr:rowOff>63500</xdr:rowOff>
    </xdr:to>
    <xdr:sp macro="" textlink="">
      <xdr:nvSpPr>
        <xdr:cNvPr id="3" name="TextBox 2">
          <a:extLst>
            <a:ext uri="{FF2B5EF4-FFF2-40B4-BE49-F238E27FC236}">
              <a16:creationId xmlns:a16="http://schemas.microsoft.com/office/drawing/2014/main" id="{B5783A24-EF91-4188-9FD2-40C5BBCFA626}"/>
            </a:ext>
          </a:extLst>
        </xdr:cNvPr>
        <xdr:cNvSpPr txBox="1"/>
      </xdr:nvSpPr>
      <xdr:spPr>
        <a:xfrm>
          <a:off x="266700" y="4203700"/>
          <a:ext cx="4292600" cy="214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An </a:t>
          </a:r>
          <a:r>
            <a:rPr lang="en-GB" sz="1100" b="1" i="0" u="none" strike="noStrike">
              <a:solidFill>
                <a:schemeClr val="dk1"/>
              </a:solidFill>
              <a:effectLst/>
              <a:latin typeface="+mn-lt"/>
              <a:ea typeface="+mn-ea"/>
              <a:cs typeface="+mn-cs"/>
            </a:rPr>
            <a:t>Equally Weighted Portfolio</a:t>
          </a:r>
          <a:r>
            <a:rPr lang="en-GB" sz="1100" b="0" i="0" u="none" strike="noStrike">
              <a:solidFill>
                <a:schemeClr val="dk1"/>
              </a:solidFill>
              <a:effectLst/>
              <a:latin typeface="+mn-lt"/>
              <a:ea typeface="+mn-ea"/>
              <a:cs typeface="+mn-cs"/>
            </a:rPr>
            <a:t> is a portfolio where each asset is assigned the same weight, meaning the investment amount is distributed equally across all assets in the portfolio. This approach is straightforward and doesn't require extensive calculations, making it a popular choice for investors who want diversification without complex optimization.</a:t>
          </a:r>
        </a:p>
        <a:p>
          <a:r>
            <a:rPr lang="en-GB" sz="1100" b="1" i="0" u="none" strike="noStrike">
              <a:solidFill>
                <a:schemeClr val="dk1"/>
              </a:solidFill>
              <a:effectLst/>
              <a:latin typeface="+mn-lt"/>
              <a:ea typeface="+mn-ea"/>
              <a:cs typeface="+mn-cs"/>
            </a:rPr>
            <a:t>Key Characteristics of an Equally Weighted Portfolio</a:t>
          </a:r>
        </a:p>
        <a:p>
          <a:r>
            <a:rPr lang="en-GB" sz="1100" b="1" i="0" u="none" strike="noStrike">
              <a:solidFill>
                <a:schemeClr val="dk1"/>
              </a:solidFill>
              <a:effectLst/>
              <a:latin typeface="+mn-lt"/>
              <a:ea typeface="+mn-ea"/>
              <a:cs typeface="+mn-cs"/>
            </a:rPr>
            <a:t>Simplicity</a:t>
          </a:r>
          <a:r>
            <a:rPr lang="en-GB" sz="1100" b="0" i="0" u="none" strike="noStrike">
              <a:solidFill>
                <a:schemeClr val="dk1"/>
              </a:solidFill>
              <a:effectLst/>
              <a:latin typeface="+mn-lt"/>
              <a:ea typeface="+mn-ea"/>
              <a:cs typeface="+mn-cs"/>
            </a:rPr>
            <a:t>: Since each asset is given the same weight, it’s easy to set up and rebalance.</a:t>
          </a:r>
        </a:p>
        <a:p>
          <a:r>
            <a:rPr lang="en-GB" sz="1100" b="1" i="0" u="none" strike="noStrike">
              <a:solidFill>
                <a:schemeClr val="dk1"/>
              </a:solidFill>
              <a:effectLst/>
              <a:latin typeface="+mn-lt"/>
              <a:ea typeface="+mn-ea"/>
              <a:cs typeface="+mn-cs"/>
            </a:rPr>
            <a:t>Diversification</a:t>
          </a:r>
          <a:r>
            <a:rPr lang="en-GB" sz="1100" b="0" i="0" u="none" strike="noStrike">
              <a:solidFill>
                <a:schemeClr val="dk1"/>
              </a:solidFill>
              <a:effectLst/>
              <a:latin typeface="+mn-lt"/>
              <a:ea typeface="+mn-ea"/>
              <a:cs typeface="+mn-cs"/>
            </a:rPr>
            <a:t>: By equally weighting assets, you automatically achieve diversification, reducing individual asset risk.</a:t>
          </a:r>
        </a:p>
        <a:p>
          <a:r>
            <a:rPr lang="en-GB" sz="1100" b="1" i="0" u="none" strike="noStrike">
              <a:solidFill>
                <a:schemeClr val="dk1"/>
              </a:solidFill>
              <a:effectLst/>
              <a:latin typeface="+mn-lt"/>
              <a:ea typeface="+mn-ea"/>
              <a:cs typeface="+mn-cs"/>
            </a:rPr>
            <a:t>No Need for Expected Returns or Covariance</a:t>
          </a:r>
          <a:r>
            <a:rPr lang="en-GB" sz="1100" b="0" i="0" u="none" strike="noStrike">
              <a:solidFill>
                <a:schemeClr val="dk1"/>
              </a:solidFill>
              <a:effectLst/>
              <a:latin typeface="+mn-lt"/>
              <a:ea typeface="+mn-ea"/>
              <a:cs typeface="+mn-cs"/>
            </a:rPr>
            <a:t>: Unlike optimized portfolios (such as GMV or efficient portfolios), equally weighted portfolios don’t rely on expected returns or covariances between assets.</a:t>
          </a:r>
        </a:p>
        <a:p>
          <a:endParaRPr lang="en-GB" sz="1100" kern="12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463550</xdr:colOff>
      <xdr:row>4</xdr:row>
      <xdr:rowOff>95250</xdr:rowOff>
    </xdr:from>
    <xdr:to>
      <xdr:col>12</xdr:col>
      <xdr:colOff>6350</xdr:colOff>
      <xdr:row>18</xdr:row>
      <xdr:rowOff>171450</xdr:rowOff>
    </xdr:to>
    <xdr:graphicFrame macro="">
      <xdr:nvGraphicFramePr>
        <xdr:cNvPr id="2" name="Chart 1">
          <a:extLst>
            <a:ext uri="{FF2B5EF4-FFF2-40B4-BE49-F238E27FC236}">
              <a16:creationId xmlns:a16="http://schemas.microsoft.com/office/drawing/2014/main" id="{05E4A73A-CC67-44E6-96EB-0CC4F8CF73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266700</xdr:colOff>
      <xdr:row>22</xdr:row>
      <xdr:rowOff>12700</xdr:rowOff>
    </xdr:from>
    <xdr:to>
      <xdr:col>5</xdr:col>
      <xdr:colOff>444500</xdr:colOff>
      <xdr:row>25</xdr:row>
      <xdr:rowOff>152400</xdr:rowOff>
    </xdr:to>
    <xdr:sp macro="" textlink="">
      <xdr:nvSpPr>
        <xdr:cNvPr id="3" name="TextBox 2">
          <a:extLst>
            <a:ext uri="{FF2B5EF4-FFF2-40B4-BE49-F238E27FC236}">
              <a16:creationId xmlns:a16="http://schemas.microsoft.com/office/drawing/2014/main" id="{A95BBD36-09C1-4977-B045-8943309D1F51}"/>
            </a:ext>
          </a:extLst>
        </xdr:cNvPr>
        <xdr:cNvSpPr txBox="1"/>
      </xdr:nvSpPr>
      <xdr:spPr>
        <a:xfrm>
          <a:off x="266700" y="4203700"/>
          <a:ext cx="3987800" cy="711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You can freely choose and adjust the desired weights for each asset in your portfolio. Once you set your weights, the system will automatically calculate the portfolio’s expected return and risk, incorporating your chosen allocations.</a:t>
          </a:r>
          <a:endParaRPr lang="en-GB" sz="1100" kern="12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540926</xdr:colOff>
      <xdr:row>17</xdr:row>
      <xdr:rowOff>23518</xdr:rowOff>
    </xdr:from>
    <xdr:to>
      <xdr:col>6</xdr:col>
      <xdr:colOff>47037</xdr:colOff>
      <xdr:row>30</xdr:row>
      <xdr:rowOff>108085</xdr:rowOff>
    </xdr:to>
    <xdr:sp macro="" textlink="">
      <xdr:nvSpPr>
        <xdr:cNvPr id="2" name="TextBox 1">
          <a:extLst>
            <a:ext uri="{FF2B5EF4-FFF2-40B4-BE49-F238E27FC236}">
              <a16:creationId xmlns:a16="http://schemas.microsoft.com/office/drawing/2014/main" id="{E93200AC-E6D5-4737-95E6-703FF2DDA9A3}"/>
            </a:ext>
          </a:extLst>
        </xdr:cNvPr>
        <xdr:cNvSpPr txBox="1"/>
      </xdr:nvSpPr>
      <xdr:spPr>
        <a:xfrm>
          <a:off x="540926" y="3262018"/>
          <a:ext cx="4078111" cy="25610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A </a:t>
          </a:r>
          <a:r>
            <a:rPr lang="en-GB" sz="1100" b="1" i="0" u="none" strike="noStrike">
              <a:solidFill>
                <a:schemeClr val="dk1"/>
              </a:solidFill>
              <a:effectLst/>
              <a:latin typeface="+mn-lt"/>
              <a:ea typeface="+mn-ea"/>
              <a:cs typeface="+mn-cs"/>
            </a:rPr>
            <a:t>Global Minimum Variance (GMV) Portfolio</a:t>
          </a:r>
          <a:r>
            <a:rPr lang="en-GB" sz="1100" b="0" i="0" u="none" strike="noStrike">
              <a:solidFill>
                <a:schemeClr val="dk1"/>
              </a:solidFill>
              <a:effectLst/>
              <a:latin typeface="+mn-lt"/>
              <a:ea typeface="+mn-ea"/>
              <a:cs typeface="+mn-cs"/>
            </a:rPr>
            <a:t> is a portfolio of assets constructed to minimize overall portfolio risk (variance) without considering expected returns. The GMV portfolio finds the combination of asset weights that results in the lowest possible portfolio variance, given the covariance among assets, regardless of the expected returns of the assets.</a:t>
          </a:r>
        </a:p>
        <a:p>
          <a:r>
            <a:rPr lang="en-GB" sz="1100" b="0" i="0" u="none" strike="noStrike">
              <a:solidFill>
                <a:schemeClr val="dk1"/>
              </a:solidFill>
              <a:effectLst/>
              <a:latin typeface="+mn-lt"/>
              <a:ea typeface="+mn-ea"/>
              <a:cs typeface="+mn-cs"/>
            </a:rPr>
            <a:t>In essence, a GMV portfolio is focused solely on risk minimization, making it ideal for investors who prioritize lowering risk over achieving a specific return. Here’s a breakdown of key concepts and how it’s typically calculated:</a:t>
          </a:r>
        </a:p>
        <a:p>
          <a:r>
            <a:rPr lang="en-GB" sz="1100" b="1" i="0" u="none" strike="noStrike">
              <a:solidFill>
                <a:schemeClr val="dk1"/>
              </a:solidFill>
              <a:effectLst/>
              <a:latin typeface="+mn-lt"/>
              <a:ea typeface="+mn-ea"/>
              <a:cs typeface="+mn-cs"/>
            </a:rPr>
            <a:t>Key Components of a GMV Portfolio</a:t>
          </a:r>
        </a:p>
        <a:p>
          <a:r>
            <a:rPr lang="en-GB" sz="1100" b="1" i="0" u="none" strike="noStrike">
              <a:solidFill>
                <a:schemeClr val="dk1"/>
              </a:solidFill>
              <a:effectLst/>
              <a:latin typeface="+mn-lt"/>
              <a:ea typeface="+mn-ea"/>
              <a:cs typeface="+mn-cs"/>
            </a:rPr>
            <a:t>Covariance Matrix</a:t>
          </a:r>
          <a:r>
            <a:rPr lang="en-GB" sz="1100" b="0" i="0" u="none" strike="noStrike">
              <a:solidFill>
                <a:schemeClr val="dk1"/>
              </a:solidFill>
              <a:effectLst/>
              <a:latin typeface="+mn-lt"/>
              <a:ea typeface="+mn-ea"/>
              <a:cs typeface="+mn-cs"/>
            </a:rPr>
            <a:t>: A matrix showing the covariances between pairs of assets in the portfolio. Covariance reflects how assets move in relation to one another, which impacts overall portfolio risk.</a:t>
          </a:r>
        </a:p>
        <a:p>
          <a:r>
            <a:rPr lang="en-GB" sz="1100" b="1" i="0" u="none" strike="noStrike">
              <a:solidFill>
                <a:schemeClr val="dk1"/>
              </a:solidFill>
              <a:effectLst/>
              <a:latin typeface="+mn-lt"/>
              <a:ea typeface="+mn-ea"/>
              <a:cs typeface="+mn-cs"/>
            </a:rPr>
            <a:t>Portfolio Variance</a:t>
          </a:r>
          <a:r>
            <a:rPr lang="en-GB" sz="1100" b="0" i="0" u="none" strike="noStrike">
              <a:solidFill>
                <a:schemeClr val="dk1"/>
              </a:solidFill>
              <a:effectLst/>
              <a:latin typeface="+mn-lt"/>
              <a:ea typeface="+mn-ea"/>
              <a:cs typeface="+mn-cs"/>
            </a:rPr>
            <a:t>: A measure of the overall risk of the portfolio, which depends on the weights of the assets and their covariances.</a:t>
          </a:r>
        </a:p>
        <a:p>
          <a:endParaRPr lang="en-GB" sz="1100" kern="1200"/>
        </a:p>
      </xdr:txBody>
    </xdr:sp>
    <xdr:clientData/>
  </xdr:twoCellAnchor>
  <xdr:twoCellAnchor>
    <xdr:from>
      <xdr:col>11</xdr:col>
      <xdr:colOff>765528</xdr:colOff>
      <xdr:row>12</xdr:row>
      <xdr:rowOff>162983</xdr:rowOff>
    </xdr:from>
    <xdr:to>
      <xdr:col>17</xdr:col>
      <xdr:colOff>398639</xdr:colOff>
      <xdr:row>27</xdr:row>
      <xdr:rowOff>83961</xdr:rowOff>
    </xdr:to>
    <xdr:graphicFrame macro="">
      <xdr:nvGraphicFramePr>
        <xdr:cNvPr id="3" name="Chart 2">
          <a:extLst>
            <a:ext uri="{FF2B5EF4-FFF2-40B4-BE49-F238E27FC236}">
              <a16:creationId xmlns:a16="http://schemas.microsoft.com/office/drawing/2014/main" id="{44BFB826-ED62-44A4-93A8-7A05580E8B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812800</xdr:colOff>
      <xdr:row>4</xdr:row>
      <xdr:rowOff>12700</xdr:rowOff>
    </xdr:from>
    <xdr:to>
      <xdr:col>21</xdr:col>
      <xdr:colOff>583747</xdr:colOff>
      <xdr:row>25</xdr:row>
      <xdr:rowOff>2723</xdr:rowOff>
    </xdr:to>
    <xdr:graphicFrame macro="">
      <xdr:nvGraphicFramePr>
        <xdr:cNvPr id="2" name="Chart 1">
          <a:extLst>
            <a:ext uri="{FF2B5EF4-FFF2-40B4-BE49-F238E27FC236}">
              <a16:creationId xmlns:a16="http://schemas.microsoft.com/office/drawing/2014/main" id="{10D640B9-6C81-4F80-BFE3-7E8693BA05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1926167</xdr:colOff>
      <xdr:row>28</xdr:row>
      <xdr:rowOff>21166</xdr:rowOff>
    </xdr:from>
    <xdr:to>
      <xdr:col>8</xdr:col>
      <xdr:colOff>42333</xdr:colOff>
      <xdr:row>36</xdr:row>
      <xdr:rowOff>190499</xdr:rowOff>
    </xdr:to>
    <xdr:sp macro="" textlink="">
      <xdr:nvSpPr>
        <xdr:cNvPr id="3" name="TextBox 2">
          <a:extLst>
            <a:ext uri="{FF2B5EF4-FFF2-40B4-BE49-F238E27FC236}">
              <a16:creationId xmlns:a16="http://schemas.microsoft.com/office/drawing/2014/main" id="{271723C2-7CB0-7C96-7AC4-34F9691D8B0A}"/>
            </a:ext>
          </a:extLst>
        </xdr:cNvPr>
        <xdr:cNvSpPr txBox="1"/>
      </xdr:nvSpPr>
      <xdr:spPr>
        <a:xfrm>
          <a:off x="1926167" y="5355166"/>
          <a:ext cx="6244166" cy="1693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none" strike="noStrike">
              <a:solidFill>
                <a:schemeClr val="dk1"/>
              </a:solidFill>
              <a:effectLst/>
              <a:latin typeface="+mn-lt"/>
              <a:ea typeface="+mn-ea"/>
              <a:cs typeface="+mn-cs"/>
            </a:rPr>
            <a:t>To calculate the efficient frontier, start by gathering historical return data for your assets. Calculate the mean returns and the covariance matrix, then set a target volatility. </a:t>
          </a:r>
        </a:p>
        <a:p>
          <a:r>
            <a:rPr lang="en-GB" sz="1400" b="0" i="0" u="none" strike="noStrike">
              <a:solidFill>
                <a:schemeClr val="dk1"/>
              </a:solidFill>
              <a:effectLst/>
              <a:latin typeface="+mn-lt"/>
              <a:ea typeface="+mn-ea"/>
              <a:cs typeface="+mn-cs"/>
            </a:rPr>
            <a:t>Maximize the expected return while keeping portfolio volatility at this target, and repeat for incremental increases in volatility. Plotting each result yields the efficient frontier, showing the best risk-return combinations across different levels of volatility.</a:t>
          </a:r>
          <a:endParaRPr lang="en-GB" sz="1400" kern="12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paolomastrogiacomo\Downloads\Mean_variance_activity_soluti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fficient frontier"/>
    </sheetNames>
    <sheetDataSet>
      <sheetData sheetId="0"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7">
  <a r="1" c="38">
    <v t="i">0</v>
    <v t="i">31</v>
    <v t="i">59</v>
    <v t="i">90</v>
    <v t="i">120</v>
    <v t="i">151</v>
    <v t="i">181</v>
    <v t="i">212</v>
    <v t="i">243</v>
    <v t="i">273</v>
    <v t="i">304</v>
    <v t="i">334</v>
    <v t="i">365</v>
    <v t="i">396</v>
    <v t="i">424</v>
    <v t="i">455</v>
    <v t="i">485</v>
    <v t="i">516</v>
    <v t="i">546</v>
    <v t="i">577</v>
    <v t="i">608</v>
    <v t="i">638</v>
    <v t="i">669</v>
    <v t="i">699</v>
    <v t="i">730</v>
    <v t="i">761</v>
    <v t="i">790</v>
    <v t="i">821</v>
    <v t="i">851</v>
    <v t="i">882</v>
    <v t="i">912</v>
    <v t="i">943</v>
    <v t="i">974</v>
    <v t="i">1004</v>
    <v t="i">1035</v>
    <v t="i">1065</v>
    <v t="i">1096</v>
    <v t="i">1127</v>
  </a>
  <a r="1" c="38">
    <v>201.24</v>
    <v>203.32</v>
    <v>205.27</v>
    <v>184.95</v>
    <v>185.31</v>
    <v>169.36</v>
    <v>187.25</v>
    <v>183.5</v>
    <v>164.92</v>
    <v>183.33</v>
    <v>187.37</v>
    <v>174.36</v>
    <v>191.48</v>
    <v>188.18</v>
    <v>178.4</v>
    <v>175.2</v>
    <v>173.77</v>
    <v>187.27</v>
    <v>198.71</v>
    <v>188.61</v>
    <v>176.74</v>
    <v>164.52</v>
    <v>179.66</v>
    <v>200.71</v>
    <v>192.88</v>
    <v>203.73</v>
    <v>210.3</v>
    <v>195.9</v>
    <v>205.77</v>
    <v>202.89</v>
    <v>223.86</v>
    <v>220.08</v>
    <v>220.89</v>
    <v>217.76</v>
    <v>241.87</v>
    <v>220.96</v>
    <v>226.48</v>
    <v>226</v>
  </a>
  <a r="1" c="38">
    <v>81.48</v>
    <v>76.58</v>
    <v>82.05</v>
    <v>88.69</v>
    <v>92.03</v>
    <v>91.17</v>
    <v>89.34</v>
    <v>85.36</v>
    <v>86.12</v>
    <v>101.2</v>
    <v>110.12</v>
    <v>110.95</v>
    <v>107.41</v>
    <v>106.24</v>
    <v>106.39</v>
    <v>115.47</v>
    <v>110.41</v>
    <v>115.39</v>
    <v>106.65</v>
    <v>108.98</v>
    <v>102.95</v>
    <v>102.7</v>
    <v>102.48</v>
    <v>109.02</v>
    <v>120.78</v>
    <v>127.15</v>
    <v>131.94999999999999</v>
    <v>129.22</v>
    <v>125.54</v>
    <v>123.8</v>
    <v>113.13</v>
    <v>118.45</v>
    <v>113.56</v>
    <v>102.32</v>
    <v>101.64</v>
    <v>99.48</v>
    <v>98.82</v>
    <v>87.28</v>
  </a>
  <a r="1" c="38">
    <v>61.01</v>
    <v>62.24</v>
    <v>62</v>
    <v>64.61</v>
    <v>63.38</v>
    <v>62.91</v>
    <v>64.17</v>
    <v>61.71</v>
    <v>56.02</v>
    <v>59.85</v>
    <v>63.61</v>
    <v>63.61</v>
    <v>61.32</v>
    <v>59.51</v>
    <v>62.03</v>
    <v>64.150000000000006</v>
    <v>59.66</v>
    <v>60.22</v>
    <v>61.93</v>
    <v>59.83</v>
    <v>55.98</v>
    <v>56.49</v>
    <v>58.44</v>
    <v>58.93</v>
    <v>59.49</v>
    <v>60.02</v>
    <v>61.18</v>
    <v>61.77</v>
    <v>62.93</v>
    <v>63.65</v>
    <v>66.739999999999995</v>
    <v>72.47</v>
    <v>71.86</v>
    <v>65.31</v>
    <v>64.08</v>
    <v>62.26</v>
    <v>63.48</v>
    <v>63.84</v>
  </a>
  <a r="1" c="38">
    <v>39.07</v>
    <v>39.24</v>
    <v>41.31</v>
    <v>39.01</v>
    <v>45.96</v>
    <v>35.76</v>
    <v>37.03</v>
    <v>38.15</v>
    <v>35.9</v>
    <v>52.03</v>
    <v>51.55</v>
    <v>53.46</v>
    <v>56.98</v>
    <v>53.21</v>
    <v>49.1</v>
    <v>49.35</v>
    <v>42.83</v>
    <v>49.12</v>
    <v>58.34</v>
    <v>58.96</v>
    <v>58.3</v>
    <v>55.66</v>
    <v>52.04</v>
    <v>52.04</v>
    <v>48.7</v>
    <v>48.33</v>
    <v>54.81</v>
    <v>47.48</v>
    <v>45.89</v>
    <v>47.18</v>
    <v>48.29</v>
    <v>43.99</v>
    <v>41.95</v>
    <v>40.07</v>
    <v>43.94</v>
    <v>38.340000000000003</v>
    <v>40.28</v>
    <v>40.159999999999997</v>
  </a>
  <a r="1" c="38">
    <v>148.6</v>
    <v>141.80000000000001</v>
    <v>136.32</v>
    <v>119.36</v>
    <v>132.22999999999999</v>
    <v>112.61</v>
    <v>115.36</v>
    <v>113.73</v>
    <v>104.5</v>
    <v>125.88</v>
    <v>138.18</v>
    <v>134.1</v>
    <v>139.96</v>
    <v>143.35</v>
    <v>130.31</v>
    <v>138.24</v>
    <v>135.71</v>
    <v>145.44</v>
    <v>157.96</v>
    <v>146.33000000000001</v>
    <v>145.02000000000001</v>
    <v>139.06</v>
    <v>156.08000000000001</v>
    <v>170.1</v>
    <v>174.36</v>
    <v>186.06</v>
    <v>200.3</v>
    <v>191.74</v>
    <v>202.63</v>
    <v>202.26</v>
    <v>212.8</v>
    <v>224.8</v>
    <v>210.86</v>
    <v>221.92</v>
    <v>249.72</v>
    <v>239.71</v>
    <v>267.3</v>
    <v>275.8</v>
  </a>
  <a r="1" c="38">
    <v>174.78</v>
    <v>165.12</v>
    <v>174.61</v>
    <v>157.65</v>
    <v>148.84</v>
    <v>136.72</v>
    <v>162.51</v>
    <v>157.22</v>
    <v>138.19999999999999</v>
    <v>153.34</v>
    <v>148.03</v>
    <v>129.93</v>
    <v>144.29</v>
    <v>147.41</v>
    <v>164.9</v>
    <v>169.68</v>
    <v>177.25</v>
    <v>193.97</v>
    <v>196.45</v>
    <v>187.87</v>
    <v>171.21</v>
    <v>170.77</v>
    <v>189.95</v>
    <v>192.53</v>
    <v>184.4</v>
    <v>180.75</v>
    <v>171.48</v>
    <v>170.33</v>
    <v>192.25</v>
    <v>210.62</v>
    <v>222.08</v>
    <v>229</v>
    <v>233</v>
    <v>225.91</v>
    <v>237.33</v>
    <v>250.42</v>
    <v>236</v>
    <v>227.63</v>
  </a>
</arrayData>
</file>

<file path=xl/richData/rdrichvalue.xml><?xml version="1.0" encoding="utf-8"?>
<rvData xmlns="http://schemas.microsoft.com/office/spreadsheetml/2017/richdata" count="231">
  <rv s="0">
    <fb>174.78</fb>
    <v>0</v>
  </rv>
  <rv s="0">
    <fb>61.01</fb>
    <v>0</v>
  </rv>
  <rv s="0">
    <fb>148.6</fb>
    <v>0</v>
  </rv>
  <rv s="0">
    <fb>81.48</fb>
    <v>0</v>
  </rv>
  <rv s="0">
    <fb>39.07</fb>
    <v>0</v>
  </rv>
  <rv s="0">
    <fb>201.24</fb>
    <v>0</v>
  </rv>
  <rv s="0">
    <fb>165.12</fb>
    <v>0</v>
  </rv>
  <rv s="0">
    <fb>62.24</fb>
    <v>0</v>
  </rv>
  <rv s="0">
    <fb>141.80000000000001</fb>
    <v>0</v>
  </rv>
  <rv s="0">
    <fb>76.58</fb>
    <v>0</v>
  </rv>
  <rv s="0">
    <fb>39.24</fb>
    <v>0</v>
  </rv>
  <rv s="0">
    <fb>203.32</fb>
    <v>0</v>
  </rv>
  <rv s="0">
    <fb>174.61</fb>
    <v>0</v>
  </rv>
  <rv s="0">
    <fb>62</fb>
    <v>0</v>
  </rv>
  <rv s="0">
    <fb>136.32</fb>
    <v>0</v>
  </rv>
  <rv s="0">
    <fb>82.05</fb>
    <v>0</v>
  </rv>
  <rv s="0">
    <fb>41.31</fb>
    <v>0</v>
  </rv>
  <rv s="0">
    <fb>205.27</fb>
    <v>0</v>
  </rv>
  <rv s="0">
    <fb>157.65</fb>
    <v>0</v>
  </rv>
  <rv s="0">
    <fb>64.61</fb>
    <v>0</v>
  </rv>
  <rv s="0">
    <fb>119.36</fb>
    <v>0</v>
  </rv>
  <rv s="0">
    <fb>88.69</fb>
    <v>0</v>
  </rv>
  <rv s="0">
    <fb>39.01</fb>
    <v>0</v>
  </rv>
  <rv s="0">
    <fb>184.95</fb>
    <v>0</v>
  </rv>
  <rv s="0">
    <fb>148.84</fb>
    <v>0</v>
  </rv>
  <rv s="0">
    <fb>63.38</fb>
    <v>0</v>
  </rv>
  <rv s="0">
    <fb>132.22999999999999</fb>
    <v>0</v>
  </rv>
  <rv s="0">
    <fb>92.03</fb>
    <v>0</v>
  </rv>
  <rv s="0">
    <fb>45.96</fb>
    <v>0</v>
  </rv>
  <rv s="0">
    <fb>185.31</fb>
    <v>0</v>
  </rv>
  <rv s="0">
    <fb>136.72</fb>
    <v>0</v>
  </rv>
  <rv s="0">
    <fb>62.91</fb>
    <v>0</v>
  </rv>
  <rv s="0">
    <fb>112.61</fb>
    <v>0</v>
  </rv>
  <rv s="0">
    <fb>91.17</fb>
    <v>0</v>
  </rv>
  <rv s="0">
    <fb>35.76</fb>
    <v>0</v>
  </rv>
  <rv s="0">
    <fb>169.36</fb>
    <v>0</v>
  </rv>
  <rv s="0">
    <fb>162.51</fb>
    <v>0</v>
  </rv>
  <rv s="0">
    <fb>64.17</fb>
    <v>0</v>
  </rv>
  <rv s="0">
    <fb>115.36</fb>
    <v>0</v>
  </rv>
  <rv s="0">
    <fb>89.34</fb>
    <v>0</v>
  </rv>
  <rv s="0">
    <fb>37.03</fb>
    <v>0</v>
  </rv>
  <rv s="0">
    <fb>187.25</fb>
    <v>0</v>
  </rv>
  <rv s="0">
    <fb>157.22</fb>
    <v>0</v>
  </rv>
  <rv s="0">
    <fb>61.71</fb>
    <v>0</v>
  </rv>
  <rv s="0">
    <fb>113.73</fb>
    <v>0</v>
  </rv>
  <rv s="0">
    <fb>85.36</fb>
    <v>0</v>
  </rv>
  <rv s="0">
    <fb>38.15</fb>
    <v>0</v>
  </rv>
  <rv s="0">
    <fb>183.5</fb>
    <v>0</v>
  </rv>
  <rv s="0">
    <fb>138.19999999999999</fb>
    <v>0</v>
  </rv>
  <rv s="0">
    <fb>56.02</fb>
    <v>0</v>
  </rv>
  <rv s="0">
    <fb>104.5</fb>
    <v>0</v>
  </rv>
  <rv s="0">
    <fb>86.12</fb>
    <v>0</v>
  </rv>
  <rv s="0">
    <fb>35.9</fb>
    <v>0</v>
  </rv>
  <rv s="0">
    <fb>164.92</fb>
    <v>0</v>
  </rv>
  <rv s="0">
    <fb>153.34</fb>
    <v>0</v>
  </rv>
  <rv s="0">
    <fb>59.85</fb>
    <v>0</v>
  </rv>
  <rv s="0">
    <fb>125.88</fb>
    <v>0</v>
  </rv>
  <rv s="0">
    <fb>101.2</fb>
    <v>0</v>
  </rv>
  <rv s="0">
    <fb>52.03</fb>
    <v>0</v>
  </rv>
  <rv s="0">
    <fb>183.33</fb>
    <v>0</v>
  </rv>
  <rv s="0">
    <fb>148.03</fb>
    <v>0</v>
  </rv>
  <rv s="0">
    <fb>63.61</fb>
    <v>0</v>
  </rv>
  <rv s="0">
    <fb>138.18</fb>
    <v>0</v>
  </rv>
  <rv s="0">
    <fb>110.12</fb>
    <v>0</v>
  </rv>
  <rv s="0">
    <fb>51.55</fb>
    <v>0</v>
  </rv>
  <rv s="0">
    <fb>187.37</fb>
    <v>0</v>
  </rv>
  <rv s="0">
    <fb>129.93</fb>
    <v>0</v>
  </rv>
  <rv s="0">
    <fb>134.1</fb>
    <v>0</v>
  </rv>
  <rv s="0">
    <fb>110.95</fb>
    <v>0</v>
  </rv>
  <rv s="0">
    <fb>53.46</fb>
    <v>0</v>
  </rv>
  <rv s="0">
    <fb>174.36</fb>
    <v>0</v>
  </rv>
  <rv s="0">
    <fb>144.29</fb>
    <v>0</v>
  </rv>
  <rv s="0">
    <fb>61.32</fb>
    <v>0</v>
  </rv>
  <rv s="0">
    <fb>139.96</fb>
    <v>0</v>
  </rv>
  <rv s="0">
    <fb>107.41</fb>
    <v>0</v>
  </rv>
  <rv s="0">
    <fb>56.98</fb>
    <v>0</v>
  </rv>
  <rv s="0">
    <fb>191.48</fb>
    <v>0</v>
  </rv>
  <rv s="0">
    <fb>147.41</fb>
    <v>0</v>
  </rv>
  <rv s="0">
    <fb>59.51</fb>
    <v>0</v>
  </rv>
  <rv s="0">
    <fb>143.35</fb>
    <v>0</v>
  </rv>
  <rv s="0">
    <fb>106.24</fb>
    <v>0</v>
  </rv>
  <rv s="0">
    <fb>53.21</fb>
    <v>0</v>
  </rv>
  <rv s="0">
    <fb>188.18</fb>
    <v>0</v>
  </rv>
  <rv s="0">
    <fb>164.9</fb>
    <v>0</v>
  </rv>
  <rv s="0">
    <fb>62.03</fb>
    <v>0</v>
  </rv>
  <rv s="0">
    <fb>130.31</fb>
    <v>0</v>
  </rv>
  <rv s="0">
    <fb>106.39</fb>
    <v>0</v>
  </rv>
  <rv s="0">
    <fb>49.1</fb>
    <v>0</v>
  </rv>
  <rv s="0">
    <fb>178.4</fb>
    <v>0</v>
  </rv>
  <rv s="0">
    <fb>169.68</fb>
    <v>0</v>
  </rv>
  <rv s="0">
    <fb>64.150000000000006</fb>
    <v>0</v>
  </rv>
  <rv s="0">
    <fb>138.24</fb>
    <v>0</v>
  </rv>
  <rv s="0">
    <fb>115.47</fb>
    <v>0</v>
  </rv>
  <rv s="0">
    <fb>49.35</fb>
    <v>0</v>
  </rv>
  <rv s="0">
    <fb>175.2</fb>
    <v>0</v>
  </rv>
  <rv s="0">
    <fb>177.25</fb>
    <v>0</v>
  </rv>
  <rv s="0">
    <fb>59.66</fb>
    <v>0</v>
  </rv>
  <rv s="0">
    <fb>135.71</fb>
    <v>0</v>
  </rv>
  <rv s="0">
    <fb>110.41</fb>
    <v>0</v>
  </rv>
  <rv s="0">
    <fb>42.83</fb>
    <v>0</v>
  </rv>
  <rv s="0">
    <fb>173.77</fb>
    <v>0</v>
  </rv>
  <rv s="0">
    <fb>193.97</fb>
    <v>0</v>
  </rv>
  <rv s="0">
    <fb>60.22</fb>
    <v>0</v>
  </rv>
  <rv s="0">
    <fb>145.44</fb>
    <v>0</v>
  </rv>
  <rv s="0">
    <fb>115.39</fb>
    <v>0</v>
  </rv>
  <rv s="0">
    <fb>49.12</fb>
    <v>0</v>
  </rv>
  <rv s="0">
    <fb>187.27</fb>
    <v>0</v>
  </rv>
  <rv s="0">
    <fb>196.45</fb>
    <v>0</v>
  </rv>
  <rv s="0">
    <fb>61.93</fb>
    <v>0</v>
  </rv>
  <rv s="0">
    <fb>157.96</fb>
    <v>0</v>
  </rv>
  <rv s="0">
    <fb>106.65</fb>
    <v>0</v>
  </rv>
  <rv s="0">
    <fb>58.34</fb>
    <v>0</v>
  </rv>
  <rv s="0">
    <fb>198.71</fb>
    <v>0</v>
  </rv>
  <rv s="0">
    <fb>187.87</fb>
    <v>0</v>
  </rv>
  <rv s="0">
    <fb>59.83</fb>
    <v>0</v>
  </rv>
  <rv s="0">
    <fb>146.33000000000001</fb>
    <v>0</v>
  </rv>
  <rv s="0">
    <fb>108.98</fb>
    <v>0</v>
  </rv>
  <rv s="0">
    <fb>58.96</fb>
    <v>0</v>
  </rv>
  <rv s="0">
    <fb>188.61</fb>
    <v>0</v>
  </rv>
  <rv s="0">
    <fb>171.21</fb>
    <v>0</v>
  </rv>
  <rv s="0">
    <fb>55.98</fb>
    <v>0</v>
  </rv>
  <rv s="0">
    <fb>145.02000000000001</fb>
    <v>0</v>
  </rv>
  <rv s="0">
    <fb>102.95</fb>
    <v>0</v>
  </rv>
  <rv s="0">
    <fb>58.3</fb>
    <v>0</v>
  </rv>
  <rv s="0">
    <fb>176.74</fb>
    <v>0</v>
  </rv>
  <rv s="0">
    <fb>170.77</fb>
    <v>0</v>
  </rv>
  <rv s="0">
    <fb>56.49</fb>
    <v>0</v>
  </rv>
  <rv s="0">
    <fb>139.06</fb>
    <v>0</v>
  </rv>
  <rv s="0">
    <fb>102.7</fb>
    <v>0</v>
  </rv>
  <rv s="0">
    <fb>55.66</fb>
    <v>0</v>
  </rv>
  <rv s="0">
    <fb>164.52</fb>
    <v>0</v>
  </rv>
  <rv s="0">
    <fb>189.95</fb>
    <v>0</v>
  </rv>
  <rv s="0">
    <fb>58.44</fb>
    <v>0</v>
  </rv>
  <rv s="0">
    <fb>156.08000000000001</fb>
    <v>0</v>
  </rv>
  <rv s="0">
    <fb>102.48</fb>
    <v>0</v>
  </rv>
  <rv s="0">
    <fb>52.04</fb>
    <v>0</v>
  </rv>
  <rv s="0">
    <fb>179.66</fb>
    <v>0</v>
  </rv>
  <rv s="0">
    <fb>192.53</fb>
    <v>0</v>
  </rv>
  <rv s="0">
    <fb>58.93</fb>
    <v>0</v>
  </rv>
  <rv s="0">
    <fb>170.1</fb>
    <v>0</v>
  </rv>
  <rv s="0">
    <fb>109.02</fb>
    <v>0</v>
  </rv>
  <rv s="0">
    <fb>200.71</fb>
    <v>0</v>
  </rv>
  <rv s="0">
    <fb>184.4</fb>
    <v>0</v>
  </rv>
  <rv s="0">
    <fb>59.49</fb>
    <v>0</v>
  </rv>
  <rv s="0">
    <fb>120.78</fb>
    <v>0</v>
  </rv>
  <rv s="0">
    <fb>48.7</fb>
    <v>0</v>
  </rv>
  <rv s="0">
    <fb>192.88</fb>
    <v>0</v>
  </rv>
  <rv s="0">
    <fb>180.75</fb>
    <v>0</v>
  </rv>
  <rv s="0">
    <fb>60.02</fb>
    <v>0</v>
  </rv>
  <rv s="0">
    <fb>186.06</fb>
    <v>0</v>
  </rv>
  <rv s="0">
    <fb>127.15</fb>
    <v>0</v>
  </rv>
  <rv s="0">
    <fb>48.33</fb>
    <v>0</v>
  </rv>
  <rv s="0">
    <fb>203.73</fb>
    <v>0</v>
  </rv>
  <rv s="0">
    <fb>171.48</fb>
    <v>0</v>
  </rv>
  <rv s="0">
    <fb>61.18</fb>
    <v>0</v>
  </rv>
  <rv s="0">
    <fb>200.3</fb>
    <v>0</v>
  </rv>
  <rv s="0">
    <fb>131.94999999999999</fb>
    <v>0</v>
  </rv>
  <rv s="0">
    <fb>54.81</fb>
    <v>0</v>
  </rv>
  <rv s="0">
    <fb>210.3</fb>
    <v>0</v>
  </rv>
  <rv s="0">
    <fb>170.33</fb>
    <v>0</v>
  </rv>
  <rv s="0">
    <fb>61.77</fb>
    <v>0</v>
  </rv>
  <rv s="0">
    <fb>191.74</fb>
    <v>0</v>
  </rv>
  <rv s="0">
    <fb>129.22</fb>
    <v>0</v>
  </rv>
  <rv s="0">
    <fb>47.48</fb>
    <v>0</v>
  </rv>
  <rv s="0">
    <fb>195.9</fb>
    <v>0</v>
  </rv>
  <rv s="0">
    <fb>192.25</fb>
    <v>0</v>
  </rv>
  <rv s="0">
    <fb>62.93</fb>
    <v>0</v>
  </rv>
  <rv s="0">
    <fb>202.63</fb>
    <v>0</v>
  </rv>
  <rv s="0">
    <fb>125.54</fb>
    <v>0</v>
  </rv>
  <rv s="0">
    <fb>45.89</fb>
    <v>0</v>
  </rv>
  <rv s="0">
    <fb>205.77</fb>
    <v>0</v>
  </rv>
  <rv s="0">
    <fb>210.62</fb>
    <v>0</v>
  </rv>
  <rv s="0">
    <fb>63.65</fb>
    <v>0</v>
  </rv>
  <rv s="0">
    <fb>202.26</fb>
    <v>0</v>
  </rv>
  <rv s="0">
    <fb>123.8</fb>
    <v>0</v>
  </rv>
  <rv s="0">
    <fb>47.18</fb>
    <v>0</v>
  </rv>
  <rv s="0">
    <fb>202.89</fb>
    <v>0</v>
  </rv>
  <rv s="0">
    <fb>222.08</fb>
    <v>0</v>
  </rv>
  <rv s="0">
    <fb>66.739999999999995</fb>
    <v>0</v>
  </rv>
  <rv s="0">
    <fb>212.8</fb>
    <v>0</v>
  </rv>
  <rv s="0">
    <fb>113.13</fb>
    <v>0</v>
  </rv>
  <rv s="0">
    <fb>48.29</fb>
    <v>0</v>
  </rv>
  <rv s="0">
    <fb>223.86</fb>
    <v>0</v>
  </rv>
  <rv s="0">
    <fb>229</fb>
    <v>0</v>
  </rv>
  <rv s="0">
    <fb>72.47</fb>
    <v>0</v>
  </rv>
  <rv s="0">
    <fb>224.8</fb>
    <v>0</v>
  </rv>
  <rv s="0">
    <fb>118.45</fb>
    <v>0</v>
  </rv>
  <rv s="0">
    <fb>43.99</fb>
    <v>0</v>
  </rv>
  <rv s="0">
    <fb>220.08</fb>
    <v>0</v>
  </rv>
  <rv s="0">
    <fb>233</fb>
    <v>0</v>
  </rv>
  <rv s="0">
    <fb>71.86</fb>
    <v>0</v>
  </rv>
  <rv s="0">
    <fb>210.86</fb>
    <v>0</v>
  </rv>
  <rv s="0">
    <fb>113.56</fb>
    <v>0</v>
  </rv>
  <rv s="0">
    <fb>41.95</fb>
    <v>0</v>
  </rv>
  <rv s="0">
    <fb>220.89</fb>
    <v>0</v>
  </rv>
  <rv s="0">
    <fb>225.91</fb>
    <v>0</v>
  </rv>
  <rv s="0">
    <fb>65.31</fb>
    <v>0</v>
  </rv>
  <rv s="0">
    <fb>221.92</fb>
    <v>0</v>
  </rv>
  <rv s="0">
    <fb>102.32</fb>
    <v>0</v>
  </rv>
  <rv s="0">
    <fb>40.07</fb>
    <v>0</v>
  </rv>
  <rv s="0">
    <fb>217.76</fb>
    <v>0</v>
  </rv>
  <rv s="0">
    <fb>237.33</fb>
    <v>0</v>
  </rv>
  <rv s="0">
    <fb>64.08</fb>
    <v>0</v>
  </rv>
  <rv s="0">
    <fb>249.72</fb>
    <v>0</v>
  </rv>
  <rv s="0">
    <fb>101.64</fb>
    <v>0</v>
  </rv>
  <rv s="0">
    <fb>43.94</fb>
    <v>0</v>
  </rv>
  <rv s="0">
    <fb>241.87</fb>
    <v>0</v>
  </rv>
  <rv s="0">
    <fb>250.42</fb>
    <v>0</v>
  </rv>
  <rv s="0">
    <fb>62.26</fb>
    <v>0</v>
  </rv>
  <rv s="0">
    <fb>239.71</fb>
    <v>0</v>
  </rv>
  <rv s="0">
    <fb>99.48</fb>
    <v>0</v>
  </rv>
  <rv s="0">
    <fb>38.340000000000003</fb>
    <v>0</v>
  </rv>
  <rv s="0">
    <fb>220.96</fb>
    <v>0</v>
  </rv>
  <rv s="0">
    <fb>236</fb>
    <v>0</v>
  </rv>
  <rv s="0">
    <fb>63.48</fb>
    <v>0</v>
  </rv>
  <rv s="0">
    <fb>267.3</fb>
    <v>0</v>
  </rv>
  <rv s="0">
    <fb>98.82</fb>
    <v>0</v>
  </rv>
  <rv s="0">
    <fb>40.28</fb>
    <v>0</v>
  </rv>
  <rv s="0">
    <fb>226.48</fb>
    <v>0</v>
  </rv>
  <rv s="0">
    <fb>227.63</fb>
    <v>0</v>
  </rv>
  <rv s="0">
    <fb>63.84</fb>
    <v>0</v>
  </rv>
  <rv s="0">
    <fb>275.8</fb>
    <v>0</v>
  </rv>
  <rv s="0">
    <fb>87.28</fb>
    <v>0</v>
  </rv>
  <rv s="0">
    <fb>40.159999999999997</fb>
    <v>0</v>
  </rv>
  <rv s="0">
    <fb>226</fb>
    <v>0</v>
  </rv>
  <rv s="1">
    <v>1</v>
    <v>IWM</v>
    <v>Monthly</v>
    <v>44562</v>
    <v>45716</v>
    <v>0</v>
    <v>1</v>
    <v>638744832000000000,638747161889817573,0</v>
    <v>0</v>
    <v>a1vxfr</v>
    <v>ARCX:IWM</v>
    <v>1</v>
  </rv>
  <rv s="1">
    <v>1</v>
    <v>MRK</v>
    <v>Monthly</v>
    <v>44562</v>
    <v>45716</v>
    <v>0</v>
    <v>1</v>
    <v>638744832000000000,638747161889851120,0</v>
    <v>0</v>
    <v>a1xxmw</v>
    <v>XNYS:MRK</v>
    <v>2</v>
  </rv>
  <rv s="1">
    <v>1</v>
    <v xml:space="preserve">KO </v>
    <v>Monthly</v>
    <v>44562</v>
    <v>45716</v>
    <v>0</v>
    <v>1</v>
    <v>638744832000000000,638747161889871275,0</v>
    <v>0</v>
    <v>a1wljc</v>
    <v>XNYS:KO</v>
    <v>3</v>
  </rv>
  <rv s="1">
    <v>1</v>
    <v>SLB</v>
    <v>Monthly</v>
    <v>44562</v>
    <v>45716</v>
    <v>0</v>
    <v>1</v>
    <v>638744832000000000,638747161889840325,0</v>
    <v>0</v>
    <v>a232mw</v>
    <v>XNYS:SLB</v>
    <v>4</v>
  </rv>
  <rv s="1">
    <v>1</v>
    <v>JPM</v>
    <v>Monthly</v>
    <v>44562</v>
    <v>45716</v>
    <v>0</v>
    <v>1</v>
    <v>638744832000000000,638747161889918210,0</v>
    <v>0</v>
    <v>a1waa2</v>
    <v>XNYS:JPM</v>
    <v>5</v>
  </rv>
  <rv s="1">
    <v>1</v>
    <v>AAPL</v>
    <v>Monthly</v>
    <v>44562</v>
    <v>45716</v>
    <v>0</v>
    <v>1</v>
    <v>638744832000000000,638747161889891610,0</v>
    <v>0</v>
    <v>a1mou2</v>
    <v>XNAS:AAPL</v>
    <v>6</v>
  </rv>
</rvData>
</file>

<file path=xl/richData/rdrichvaluestructure.xml><?xml version="1.0" encoding="utf-8"?>
<rvStructures xmlns="http://schemas.microsoft.com/office/spreadsheetml/2017/richdata" count="2">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2">
    <spb s="0">
      <v>1</v>
    </spb>
    <spb s="1">
      <v>2</v>
      <v>1</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19" formatCode="dd/mm/yyyy"/>
    </x:dxf>
  </dxfs>
  <richProperties>
    <rPr n="NumberFormat" t="s"/>
  </richProperties>
  <richStyles>
    <rSty dxfid="0">
      <rpv i="0">_([$$-en-US]* #,##0.00_);_([$$-en-US]* (#,##0.00);_([$$-en-US]* "-"??_);_(@_)</rpv>
    </rSty>
    <rSty dxfid="1"/>
  </richStyles>
</richStyleShee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6D702-0C0F-4361-9129-A7E6F5EB39E7}">
  <sheetPr codeName="Sheet2"/>
  <dimension ref="A1"/>
  <sheetViews>
    <sheetView tabSelected="1" zoomScale="106" workbookViewId="0">
      <selection activeCell="E21" sqref="E21"/>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3:ALW18"/>
  <sheetViews>
    <sheetView zoomScale="80" zoomScaleNormal="85" workbookViewId="0">
      <selection activeCell="C20" sqref="C20"/>
    </sheetView>
  </sheetViews>
  <sheetFormatPr defaultColWidth="0" defaultRowHeight="15" x14ac:dyDescent="0.25"/>
  <cols>
    <col min="1" max="1" width="28.42578125" style="1" customWidth="1"/>
    <col min="2" max="2" width="16.85546875" style="1" bestFit="1" customWidth="1"/>
    <col min="3" max="3" width="25.140625" style="1" customWidth="1"/>
    <col min="4" max="8" width="16.42578125" style="1" bestFit="1" customWidth="1"/>
    <col min="9" max="9" width="19.28515625" style="1" customWidth="1"/>
    <col min="10" max="10" width="22.42578125" style="4" customWidth="1"/>
    <col min="11" max="11" width="16.85546875" style="4" bestFit="1" customWidth="1"/>
    <col min="12" max="18" width="15.85546875" style="4" bestFit="1" customWidth="1"/>
    <col min="19" max="28" width="9.140625" style="4" customWidth="1"/>
    <col min="29" max="1011" width="0" style="4" hidden="1" customWidth="1"/>
    <col min="1012" max="16384" width="9.140625" style="4" hidden="1"/>
  </cols>
  <sheetData>
    <row r="3" spans="1:15" x14ac:dyDescent="0.25">
      <c r="G3" s="2" t="s">
        <v>0</v>
      </c>
      <c r="I3" s="5">
        <v>19</v>
      </c>
    </row>
    <row r="4" spans="1:15" x14ac:dyDescent="0.25">
      <c r="G4" s="3">
        <f>I3/100</f>
        <v>0.19</v>
      </c>
    </row>
    <row r="7" spans="1:15" x14ac:dyDescent="0.25">
      <c r="A7" s="2" t="s">
        <v>6</v>
      </c>
    </row>
    <row r="8" spans="1:15" x14ac:dyDescent="0.25">
      <c r="A8" s="2" t="s">
        <v>1</v>
      </c>
      <c r="B8" s="13" t="s">
        <v>2</v>
      </c>
      <c r="C8" s="14" t="s">
        <v>3</v>
      </c>
      <c r="D8" s="8" t="s">
        <v>4</v>
      </c>
      <c r="E8" s="2" t="s">
        <v>5</v>
      </c>
      <c r="N8" s="6"/>
      <c r="O8" s="7"/>
    </row>
    <row r="9" spans="1:15" x14ac:dyDescent="0.25">
      <c r="B9" s="9"/>
      <c r="C9" s="10"/>
      <c r="D9" s="11"/>
      <c r="N9" s="6"/>
      <c r="O9" s="7"/>
    </row>
    <row r="10" spans="1:15" x14ac:dyDescent="0.25">
      <c r="B10" s="12"/>
      <c r="C10" s="3"/>
      <c r="N10" s="6"/>
      <c r="O10" s="7"/>
    </row>
    <row r="11" spans="1:15" x14ac:dyDescent="0.25">
      <c r="B11" s="12"/>
      <c r="C11" s="3"/>
      <c r="N11" s="6"/>
      <c r="O11" s="7"/>
    </row>
    <row r="12" spans="1:15" x14ac:dyDescent="0.25">
      <c r="B12" s="12"/>
      <c r="C12" s="3"/>
      <c r="N12" s="6"/>
      <c r="O12" s="7"/>
    </row>
    <row r="13" spans="1:15" x14ac:dyDescent="0.25">
      <c r="B13" s="12"/>
      <c r="C13" s="3"/>
      <c r="N13" s="6"/>
      <c r="O13" s="7"/>
    </row>
    <row r="14" spans="1:15" x14ac:dyDescent="0.25">
      <c r="B14" s="12"/>
      <c r="C14" s="3"/>
      <c r="N14" s="6"/>
      <c r="O14" s="7"/>
    </row>
    <row r="15" spans="1:15" x14ac:dyDescent="0.25">
      <c r="B15" s="12"/>
      <c r="C15" s="15"/>
      <c r="N15" s="6"/>
      <c r="O15" s="7"/>
    </row>
    <row r="16" spans="1:15" x14ac:dyDescent="0.25">
      <c r="B16" s="12"/>
      <c r="C16" s="15"/>
    </row>
    <row r="17" spans="2:3" x14ac:dyDescent="0.25">
      <c r="B17" s="12"/>
      <c r="C17" s="15"/>
    </row>
    <row r="18" spans="2:3" x14ac:dyDescent="0.25">
      <c r="B18" s="12"/>
      <c r="C18" s="1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Scroll Bar 3">
              <controlPr defaultSize="0" autoPict="0">
                <anchor moveWithCells="1">
                  <from>
                    <xdr:col>2</xdr:col>
                    <xdr:colOff>1038225</xdr:colOff>
                    <xdr:row>1</xdr:row>
                    <xdr:rowOff>123825</xdr:rowOff>
                  </from>
                  <to>
                    <xdr:col>5</xdr:col>
                    <xdr:colOff>295275</xdr:colOff>
                    <xdr:row>4</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DFE5C-2D6A-44B4-AA4F-914828E69374}">
  <dimension ref="A1:N66"/>
  <sheetViews>
    <sheetView zoomScale="73" zoomScaleNormal="73" workbookViewId="0">
      <selection activeCell="B22" sqref="B22"/>
    </sheetView>
  </sheetViews>
  <sheetFormatPr defaultColWidth="8.85546875" defaultRowHeight="15" x14ac:dyDescent="0.25"/>
  <cols>
    <col min="1" max="1" width="20" customWidth="1"/>
    <col min="2" max="2" width="29.42578125" customWidth="1"/>
    <col min="3" max="3" width="10.7109375" customWidth="1"/>
    <col min="4" max="4" width="17.28515625" customWidth="1"/>
    <col min="5" max="5" width="21.140625" customWidth="1"/>
    <col min="6" max="6" width="10.28515625" customWidth="1"/>
    <col min="7" max="7" width="14.85546875" customWidth="1"/>
    <col min="8" max="8" width="23" customWidth="1"/>
    <col min="9" max="9" width="11" customWidth="1"/>
    <col min="10" max="10" width="17.85546875" customWidth="1"/>
    <col min="11" max="11" width="27.42578125" customWidth="1"/>
    <col min="12" max="12" width="11.7109375" customWidth="1"/>
    <col min="13" max="13" width="17.140625" customWidth="1"/>
    <col min="14" max="14" width="20.7109375" customWidth="1"/>
    <col min="15" max="15" width="16.7109375" customWidth="1"/>
    <col min="16" max="16" width="27.28515625" customWidth="1"/>
    <col min="17" max="17" width="12.140625" customWidth="1"/>
    <col min="19" max="19" width="26.42578125" customWidth="1"/>
    <col min="20" max="20" width="20.140625" customWidth="1"/>
    <col min="23" max="23" width="22" customWidth="1"/>
  </cols>
  <sheetData>
    <row r="1" spans="1:2" x14ac:dyDescent="0.25">
      <c r="A1" s="18" t="s">
        <v>80</v>
      </c>
      <c r="B1" s="24">
        <v>44562</v>
      </c>
    </row>
    <row r="2" spans="1:2" x14ac:dyDescent="0.25">
      <c r="A2" s="18" t="s">
        <v>79</v>
      </c>
      <c r="B2" s="24">
        <f ca="1">TODAY()</f>
        <v>45697</v>
      </c>
    </row>
    <row r="3" spans="1:2" x14ac:dyDescent="0.25">
      <c r="A3" s="18" t="s">
        <v>78</v>
      </c>
      <c r="B3" s="18" t="s">
        <v>10</v>
      </c>
    </row>
    <row r="7" spans="1:2" x14ac:dyDescent="0.25">
      <c r="A7" s="23" t="s">
        <v>77</v>
      </c>
      <c r="B7" s="23">
        <v>1</v>
      </c>
    </row>
    <row r="8" spans="1:2" x14ac:dyDescent="0.25">
      <c r="A8" s="23" t="s">
        <v>76</v>
      </c>
      <c r="B8" s="23">
        <v>2</v>
      </c>
    </row>
    <row r="9" spans="1:2" x14ac:dyDescent="0.25">
      <c r="A9" s="18" t="s">
        <v>75</v>
      </c>
      <c r="B9" s="18">
        <v>2</v>
      </c>
    </row>
    <row r="24" spans="1:14" x14ac:dyDescent="0.25">
      <c r="A24" s="22" t="s">
        <v>74</v>
      </c>
      <c r="B24" s="21"/>
      <c r="C24" s="21"/>
      <c r="D24" s="21"/>
      <c r="E24" s="21"/>
      <c r="F24" s="21"/>
    </row>
    <row r="26" spans="1:14" ht="18" x14ac:dyDescent="0.3">
      <c r="A26" s="17" t="s">
        <v>73</v>
      </c>
      <c r="D26" s="17" t="s">
        <v>72</v>
      </c>
      <c r="G26" s="17" t="s">
        <v>71</v>
      </c>
      <c r="J26" s="17" t="s">
        <v>70</v>
      </c>
      <c r="K26" s="17"/>
      <c r="M26" s="17" t="s">
        <v>69</v>
      </c>
      <c r="N26" s="17"/>
    </row>
    <row r="28" spans="1:14" x14ac:dyDescent="0.25">
      <c r="A28" s="19" t="s">
        <v>68</v>
      </c>
      <c r="B28" s="18" t="s">
        <v>67</v>
      </c>
      <c r="D28" s="19" t="s">
        <v>66</v>
      </c>
      <c r="E28" s="18" t="s">
        <v>65</v>
      </c>
      <c r="G28" s="19" t="s">
        <v>64</v>
      </c>
      <c r="H28" s="19" t="s">
        <v>63</v>
      </c>
      <c r="J28" s="19" t="s">
        <v>62</v>
      </c>
      <c r="K28" s="19" t="s">
        <v>61</v>
      </c>
      <c r="M28" s="19" t="s">
        <v>60</v>
      </c>
      <c r="N28" s="19" t="s">
        <v>59</v>
      </c>
    </row>
    <row r="29" spans="1:14" x14ac:dyDescent="0.25">
      <c r="A29" s="19" t="s">
        <v>58</v>
      </c>
      <c r="B29" s="18" t="s">
        <v>57</v>
      </c>
      <c r="D29" s="19" t="s">
        <v>56</v>
      </c>
      <c r="E29" s="18" t="s">
        <v>55</v>
      </c>
      <c r="G29" s="19" t="s">
        <v>54</v>
      </c>
      <c r="H29" s="19" t="s">
        <v>53</v>
      </c>
      <c r="J29" s="19" t="s">
        <v>52</v>
      </c>
      <c r="K29" s="19" t="s">
        <v>51</v>
      </c>
      <c r="M29" s="19" t="s">
        <v>50</v>
      </c>
      <c r="N29" s="19" t="s">
        <v>49</v>
      </c>
    </row>
    <row r="30" spans="1:14" x14ac:dyDescent="0.25">
      <c r="A30" s="19" t="s">
        <v>48</v>
      </c>
      <c r="B30" s="18" t="s">
        <v>47</v>
      </c>
      <c r="D30" s="19" t="s">
        <v>46</v>
      </c>
      <c r="E30" s="18" t="s">
        <v>45</v>
      </c>
      <c r="G30" s="19" t="s">
        <v>44</v>
      </c>
      <c r="H30" s="19" t="s">
        <v>43</v>
      </c>
      <c r="J30" s="19" t="s">
        <v>42</v>
      </c>
      <c r="K30" s="19" t="s">
        <v>41</v>
      </c>
      <c r="M30" s="19" t="s">
        <v>40</v>
      </c>
      <c r="N30" s="19" t="s">
        <v>39</v>
      </c>
    </row>
    <row r="31" spans="1:14" x14ac:dyDescent="0.25">
      <c r="A31" s="19" t="s">
        <v>38</v>
      </c>
      <c r="B31" s="18" t="s">
        <v>37</v>
      </c>
      <c r="D31" s="19" t="s">
        <v>36</v>
      </c>
      <c r="E31" s="18" t="s">
        <v>35</v>
      </c>
      <c r="G31" s="19" t="s">
        <v>34</v>
      </c>
      <c r="H31" s="19" t="s">
        <v>33</v>
      </c>
      <c r="J31" s="19" t="s">
        <v>32</v>
      </c>
      <c r="K31" s="19" t="s">
        <v>31</v>
      </c>
      <c r="M31" s="19" t="s">
        <v>30</v>
      </c>
      <c r="N31" s="19" t="s">
        <v>29</v>
      </c>
    </row>
    <row r="32" spans="1:14" x14ac:dyDescent="0.25">
      <c r="A32" s="19" t="s">
        <v>28</v>
      </c>
      <c r="B32" s="18" t="s">
        <v>27</v>
      </c>
      <c r="D32" s="19" t="s">
        <v>26</v>
      </c>
      <c r="E32" s="18" t="s">
        <v>25</v>
      </c>
      <c r="G32" s="19" t="s">
        <v>24</v>
      </c>
      <c r="H32" s="19" t="s">
        <v>23</v>
      </c>
      <c r="J32" s="19" t="s">
        <v>22</v>
      </c>
      <c r="K32" s="19" t="s">
        <v>21</v>
      </c>
      <c r="M32" s="19" t="s">
        <v>20</v>
      </c>
      <c r="N32" s="19" t="s">
        <v>19</v>
      </c>
    </row>
    <row r="34" spans="1:6" x14ac:dyDescent="0.25">
      <c r="A34" s="22" t="s">
        <v>18</v>
      </c>
      <c r="B34" s="21"/>
      <c r="C34" s="21"/>
      <c r="D34" s="21"/>
      <c r="E34" s="21"/>
      <c r="F34" s="21"/>
    </row>
    <row r="36" spans="1:6" x14ac:dyDescent="0.25">
      <c r="A36" s="16"/>
    </row>
    <row r="37" spans="1:6" ht="18.75" x14ac:dyDescent="0.3">
      <c r="A37" s="20" t="s">
        <v>17</v>
      </c>
    </row>
    <row r="38" spans="1:6" x14ac:dyDescent="0.25">
      <c r="A38" s="16"/>
    </row>
    <row r="39" spans="1:6" x14ac:dyDescent="0.25">
      <c r="A39" s="19" t="s">
        <v>16</v>
      </c>
      <c r="B39" s="18" t="s">
        <v>15</v>
      </c>
    </row>
    <row r="40" spans="1:6" x14ac:dyDescent="0.25">
      <c r="A40" s="19" t="s">
        <v>14</v>
      </c>
      <c r="B40" s="18" t="s">
        <v>13</v>
      </c>
    </row>
    <row r="41" spans="1:6" x14ac:dyDescent="0.25">
      <c r="A41" s="19" t="s">
        <v>12</v>
      </c>
      <c r="B41" s="18" t="s">
        <v>11</v>
      </c>
    </row>
    <row r="42" spans="1:6" x14ac:dyDescent="0.25">
      <c r="A42" s="19" t="s">
        <v>10</v>
      </c>
      <c r="B42" s="18" t="s">
        <v>9</v>
      </c>
    </row>
    <row r="43" spans="1:6" x14ac:dyDescent="0.25">
      <c r="A43" s="19" t="s">
        <v>8</v>
      </c>
      <c r="B43" s="18" t="s">
        <v>7</v>
      </c>
    </row>
    <row r="44" spans="1:6" x14ac:dyDescent="0.25">
      <c r="A44" s="16"/>
      <c r="B44" s="16"/>
    </row>
    <row r="45" spans="1:6" x14ac:dyDescent="0.25">
      <c r="A45" s="16"/>
      <c r="B45" s="16"/>
    </row>
    <row r="46" spans="1:6" x14ac:dyDescent="0.25">
      <c r="A46" s="16"/>
      <c r="B46" s="16"/>
    </row>
    <row r="47" spans="1:6" x14ac:dyDescent="0.25">
      <c r="A47" s="16"/>
      <c r="B47" s="16"/>
    </row>
    <row r="48" spans="1:6" x14ac:dyDescent="0.25">
      <c r="A48" s="16"/>
      <c r="B48" s="16"/>
    </row>
    <row r="50" spans="1:7" ht="18" x14ac:dyDescent="0.3">
      <c r="A50" s="17"/>
      <c r="B50" s="17"/>
    </row>
    <row r="52" spans="1:7" x14ac:dyDescent="0.25">
      <c r="A52" s="16"/>
      <c r="B52" s="16"/>
    </row>
    <row r="53" spans="1:7" x14ac:dyDescent="0.25">
      <c r="A53" s="16"/>
      <c r="B53" s="16"/>
    </row>
    <row r="54" spans="1:7" x14ac:dyDescent="0.25">
      <c r="A54" s="16"/>
      <c r="B54" s="16"/>
    </row>
    <row r="55" spans="1:7" x14ac:dyDescent="0.25">
      <c r="A55" s="16"/>
      <c r="B55" s="16"/>
    </row>
    <row r="56" spans="1:7" x14ac:dyDescent="0.25">
      <c r="A56" s="16"/>
      <c r="B56" s="16"/>
    </row>
    <row r="58" spans="1:7" ht="18" x14ac:dyDescent="0.3">
      <c r="F58" s="17"/>
      <c r="G58" s="17"/>
    </row>
    <row r="60" spans="1:7" x14ac:dyDescent="0.25">
      <c r="F60" s="16"/>
      <c r="G60" s="16"/>
    </row>
    <row r="61" spans="1:7" x14ac:dyDescent="0.25">
      <c r="F61" s="16"/>
      <c r="G61" s="16"/>
    </row>
    <row r="62" spans="1:7" x14ac:dyDescent="0.25">
      <c r="F62" s="16"/>
      <c r="G62" s="16"/>
    </row>
    <row r="63" spans="1:7" x14ac:dyDescent="0.25">
      <c r="F63" s="16"/>
      <c r="G63" s="16"/>
    </row>
    <row r="64" spans="1:7" x14ac:dyDescent="0.25">
      <c r="F64" s="16"/>
      <c r="G64" s="16"/>
    </row>
    <row r="66" spans="6:6" x14ac:dyDescent="0.25">
      <c r="F66" s="16"/>
    </row>
  </sheetData>
  <dataValidations count="2">
    <dataValidation type="list" allowBlank="1" showInputMessage="1" showErrorMessage="1" sqref="B3" xr:uid="{7E3E2414-9321-1B4E-A4DB-276BC3FBEB9C}">
      <formula1>$A$39:$A$43</formula1>
    </dataValidation>
    <dataValidation type="list" allowBlank="1" showInputMessage="1" showErrorMessage="1" sqref="B9" xr:uid="{4E196752-C893-DC4A-B7ED-49CAD0CD4A9D}">
      <formula1>$B$7:$B$8</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F78E9-F518-4A35-B458-422676EB1A74}">
  <dimension ref="A1:AH255"/>
  <sheetViews>
    <sheetView topLeftCell="Q25" zoomScale="95" workbookViewId="0">
      <selection activeCell="G1" sqref="G1"/>
    </sheetView>
  </sheetViews>
  <sheetFormatPr defaultColWidth="8.85546875" defaultRowHeight="15" x14ac:dyDescent="0.25"/>
  <cols>
    <col min="5" max="7" width="9" bestFit="1" customWidth="1"/>
    <col min="12" max="17" width="9" bestFit="1" customWidth="1"/>
    <col min="21" max="21" width="16.7109375" customWidth="1"/>
    <col min="22" max="22" width="9" bestFit="1" customWidth="1"/>
    <col min="23" max="23" width="12.7109375" bestFit="1" customWidth="1"/>
    <col min="24" max="27" width="9" bestFit="1" customWidth="1"/>
    <col min="29" max="29" width="20.42578125" customWidth="1"/>
    <col min="33" max="33" width="12" customWidth="1"/>
    <col min="34" max="34" width="16.28515625" customWidth="1"/>
  </cols>
  <sheetData>
    <row r="1" spans="1:34" x14ac:dyDescent="0.25">
      <c r="A1" s="29"/>
      <c r="B1" s="29" t="s">
        <v>127</v>
      </c>
      <c r="C1" s="29" t="s">
        <v>56</v>
      </c>
      <c r="D1" s="29" t="s">
        <v>64</v>
      </c>
      <c r="E1" s="29" t="s">
        <v>42</v>
      </c>
      <c r="F1" s="29" t="s">
        <v>20</v>
      </c>
      <c r="G1" s="21" t="str">
        <f>'readme - portfolio construction'!B3</f>
        <v>IWM</v>
      </c>
      <c r="L1" s="29" t="str">
        <f t="shared" ref="L1:Q1" si="0">B1</f>
        <v>AAPL</v>
      </c>
      <c r="M1" s="29" t="str">
        <f t="shared" si="0"/>
        <v xml:space="preserve">KO </v>
      </c>
      <c r="N1" s="29" t="str">
        <f t="shared" si="0"/>
        <v>JPM</v>
      </c>
      <c r="O1" s="29" t="str">
        <f t="shared" si="0"/>
        <v>MRK</v>
      </c>
      <c r="P1" s="29" t="str">
        <f t="shared" si="0"/>
        <v>SLB</v>
      </c>
      <c r="Q1" s="21" t="str">
        <f t="shared" si="0"/>
        <v>IWM</v>
      </c>
      <c r="V1" s="35" t="str">
        <f t="shared" ref="V1:AA1" si="1">B1</f>
        <v>AAPL</v>
      </c>
      <c r="W1" s="35" t="str">
        <f t="shared" si="1"/>
        <v xml:space="preserve">KO </v>
      </c>
      <c r="X1" s="35" t="str">
        <f t="shared" si="1"/>
        <v>JPM</v>
      </c>
      <c r="Y1" s="35" t="str">
        <f t="shared" si="1"/>
        <v>MRK</v>
      </c>
      <c r="Z1" s="35" t="str">
        <f t="shared" si="1"/>
        <v>SLB</v>
      </c>
      <c r="AA1" s="34" t="str">
        <f t="shared" si="1"/>
        <v>IWM</v>
      </c>
    </row>
    <row r="2" spans="1:34" x14ac:dyDescent="0.25">
      <c r="A2" s="26"/>
      <c r="B2" cm="1" vm="1">
        <f t="array" aca="1" ref="B2:B39" ca="1">_xlfn.STOCKHISTORY(B1,'readme - portfolio construction'!$B$1,'readme - portfolio construction'!$B$2,'readme - portfolio construction'!$B$9,0,1)</f>
        <v>174.78</v>
      </c>
      <c r="C2" cm="1" vm="2">
        <f t="array" aca="1" ref="C2:C39" ca="1">_xlfn.STOCKHISTORY(C1,'readme - portfolio construction'!$B$1,'readme - portfolio construction'!$B$2,'readme - portfolio construction'!$B$9,0,1)</f>
        <v>61.01</v>
      </c>
      <c r="D2" cm="1" vm="3">
        <f t="array" aca="1" ref="D2:D39" ca="1">_xlfn.STOCKHISTORY(D1,'readme - portfolio construction'!$B$1,'readme - portfolio construction'!$B$2,'readme - portfolio construction'!$B$9,0,1)</f>
        <v>148.6</v>
      </c>
      <c r="E2" cm="1" vm="4">
        <f t="array" aca="1" ref="E2:E39" ca="1">_xlfn.STOCKHISTORY(E1,'readme - portfolio construction'!$B$1,'readme - portfolio construction'!$B$2,'readme - portfolio construction'!$B$9,0,1)</f>
        <v>81.48</v>
      </c>
      <c r="F2" cm="1" vm="5">
        <f t="array" aca="1" ref="F2:F39" ca="1">_xlfn.STOCKHISTORY(F1,'readme - portfolio construction'!$B$1,'readme - portfolio construction'!$B$2,'readme - portfolio construction'!$B$9,0,1)</f>
        <v>39.07</v>
      </c>
      <c r="G2" cm="1" vm="6">
        <f t="array" aca="1" ref="G2:G39" ca="1">_xlfn.STOCKHISTORY(G1,'readme - portfolio construction'!$B$1,'readme - portfolio construction'!$B$2,'readme - portfolio construction'!$B$9,0,1)</f>
        <v>201.24</v>
      </c>
      <c r="K2" s="26"/>
      <c r="L2" s="25">
        <f t="shared" ref="L2:L65" ca="1" si="2">IFERROR(IF(B3/B2-1=-1, "", B3/B2-1), "")</f>
        <v>-5.5269481634054207E-2</v>
      </c>
      <c r="M2" s="25">
        <f t="shared" ref="M2:M65" ca="1" si="3">IFERROR(IF(C3/C2-1=-1, "", C3/C2-1), "")</f>
        <v>2.0160629405015618E-2</v>
      </c>
      <c r="N2" s="25">
        <f t="shared" ref="N2:N65" ca="1" si="4">IFERROR(IF(D3/D2-1=-1, "", D3/D2-1), "")</f>
        <v>-4.5760430686406339E-2</v>
      </c>
      <c r="O2" s="25">
        <f t="shared" ref="O2:O65" ca="1" si="5">IFERROR(IF(E3/E2-1=-1, "", E3/E2-1), "")</f>
        <v>-6.0137457044673659E-2</v>
      </c>
      <c r="P2" s="25">
        <f t="shared" ref="P2:P65" ca="1" si="6">IFERROR(IF(F3/F2-1=-1, "", F3/F2-1), "")</f>
        <v>4.3511645764013895E-3</v>
      </c>
      <c r="Q2" s="25">
        <f t="shared" ref="Q2:Q65" ca="1" si="7">IFERROR(IF(G3/G2-1=-1, "", G3/G2-1), "")</f>
        <v>1.0335917312661369E-2</v>
      </c>
      <c r="U2" s="18" t="s">
        <v>91</v>
      </c>
      <c r="V2" s="33">
        <f t="shared" ref="V2:AA2" ca="1" si="8">AVERAGEIF(L:L, "&lt;&gt;")</f>
        <v>9.9322663605909637E-3</v>
      </c>
      <c r="W2" s="33">
        <f t="shared" ca="1" si="8"/>
        <v>2.0445707371839288E-3</v>
      </c>
      <c r="X2" s="33">
        <f t="shared" ca="1" si="8"/>
        <v>1.9738135159064311E-2</v>
      </c>
      <c r="Y2" s="33">
        <f t="shared" ca="1" si="8"/>
        <v>3.6610838124930944E-3</v>
      </c>
      <c r="Z2" s="33">
        <f t="shared" ca="1" si="8"/>
        <v>6.5916234258217429E-3</v>
      </c>
      <c r="AA2" s="33">
        <f t="shared" ca="1" si="8"/>
        <v>5.2393408490731099E-3</v>
      </c>
      <c r="AG2" s="25"/>
      <c r="AH2" s="25"/>
    </row>
    <row r="3" spans="1:34" x14ac:dyDescent="0.25">
      <c r="A3" s="26"/>
      <c r="B3" vm="7">
        <f ca="1"/>
        <v>165.12</v>
      </c>
      <c r="C3" vm="8">
        <f ca="1"/>
        <v>62.24</v>
      </c>
      <c r="D3" vm="9">
        <f ca="1"/>
        <v>141.80000000000001</v>
      </c>
      <c r="E3" vm="10">
        <f ca="1"/>
        <v>76.58</v>
      </c>
      <c r="F3" vm="11">
        <f ca="1"/>
        <v>39.24</v>
      </c>
      <c r="G3" vm="12">
        <f ca="1"/>
        <v>203.32</v>
      </c>
      <c r="K3" s="26"/>
      <c r="L3" s="25">
        <f t="shared" ca="1" si="2"/>
        <v>5.7473352713178327E-2</v>
      </c>
      <c r="M3" s="25">
        <f t="shared" ca="1" si="3"/>
        <v>-3.856041131105381E-3</v>
      </c>
      <c r="N3" s="25">
        <f t="shared" ca="1" si="4"/>
        <v>-3.8645980253878776E-2</v>
      </c>
      <c r="O3" s="25">
        <f t="shared" ca="1" si="5"/>
        <v>7.1428571428571397E-2</v>
      </c>
      <c r="P3" s="25">
        <f t="shared" ca="1" si="6"/>
        <v>5.2752293577981613E-2</v>
      </c>
      <c r="Q3" s="25">
        <f t="shared" ca="1" si="7"/>
        <v>9.5907928388747621E-3</v>
      </c>
      <c r="U3" s="18" t="s">
        <v>90</v>
      </c>
      <c r="V3" s="32" cm="1">
        <f t="array" aca="1" ref="V3" ca="1">_xlfn.STDEV.S(_xlfn._xlws.FILTER(L:L, L:L &lt;&gt; ""))</f>
        <v>7.6090208019076899E-2</v>
      </c>
      <c r="W3" s="32" cm="1">
        <f t="array" aca="1" ref="W3" ca="1">_xlfn.STDEV.S(_xlfn._xlws.FILTER(M:M, M:M &lt;&gt; ""))</f>
        <v>4.0760684496128449E-2</v>
      </c>
      <c r="X3" s="32" cm="1">
        <f t="array" aca="1" ref="X3" ca="1">_xlfn.STDEV.S(_xlfn._xlws.FILTER(N:N, N:N &lt;&gt; ""))</f>
        <v>7.7396129583847076E-2</v>
      </c>
      <c r="Y3" s="32" cm="1">
        <f t="array" aca="1" ref="Y3" ca="1">_xlfn.STDEV.S(_xlfn._xlws.FILTER(O:O, O:O &lt;&gt; ""))</f>
        <v>6.1363962250864046E-2</v>
      </c>
      <c r="Z3" s="32" cm="1">
        <f t="array" aca="1" ref="Z3" ca="1">_xlfn.STDEV.S(_xlfn._xlws.FILTER(P:P, P:P &lt;&gt; ""))</f>
        <v>0.11456267920291072</v>
      </c>
      <c r="AA3" s="32" cm="1">
        <f t="array" aca="1" ref="AA3" ca="1">_xlfn.STDEV.S(_xlfn._xlws.FILTER(Q:Q, Q:Q &lt;&gt; ""))</f>
        <v>6.6034965682161356E-2</v>
      </c>
      <c r="AG3" s="25"/>
      <c r="AH3" s="25"/>
    </row>
    <row r="4" spans="1:34" x14ac:dyDescent="0.25">
      <c r="A4" s="26"/>
      <c r="B4" vm="13">
        <f ca="1"/>
        <v>174.61</v>
      </c>
      <c r="C4" vm="14">
        <f ca="1"/>
        <v>62</v>
      </c>
      <c r="D4" vm="15">
        <f ca="1"/>
        <v>136.32</v>
      </c>
      <c r="E4" vm="16">
        <f ca="1"/>
        <v>82.05</v>
      </c>
      <c r="F4" vm="17">
        <f ca="1"/>
        <v>41.31</v>
      </c>
      <c r="G4" vm="18">
        <f ca="1"/>
        <v>205.27</v>
      </c>
      <c r="K4" s="26"/>
      <c r="L4" s="25">
        <f t="shared" ca="1" si="2"/>
        <v>-9.7130748525284916E-2</v>
      </c>
      <c r="M4" s="25">
        <f t="shared" ca="1" si="3"/>
        <v>4.2096774193548292E-2</v>
      </c>
      <c r="N4" s="25">
        <f t="shared" ca="1" si="4"/>
        <v>-0.12441314553990601</v>
      </c>
      <c r="O4" s="25">
        <f t="shared" ca="1" si="5"/>
        <v>8.0926264472882314E-2</v>
      </c>
      <c r="P4" s="25">
        <f t="shared" ca="1" si="6"/>
        <v>-5.5676591624304161E-2</v>
      </c>
      <c r="Q4" s="25">
        <f t="shared" ca="1" si="7"/>
        <v>-9.899157207580267E-2</v>
      </c>
      <c r="AG4" s="25"/>
      <c r="AH4" s="25"/>
    </row>
    <row r="5" spans="1:34" x14ac:dyDescent="0.25">
      <c r="A5" s="26"/>
      <c r="B5" vm="19">
        <f ca="1"/>
        <v>157.65</v>
      </c>
      <c r="C5" vm="20">
        <f ca="1"/>
        <v>64.61</v>
      </c>
      <c r="D5" vm="21">
        <f ca="1"/>
        <v>119.36</v>
      </c>
      <c r="E5" vm="22">
        <f ca="1"/>
        <v>88.69</v>
      </c>
      <c r="F5" vm="23">
        <f ca="1"/>
        <v>39.01</v>
      </c>
      <c r="G5" vm="24">
        <f ca="1"/>
        <v>184.95</v>
      </c>
      <c r="K5" s="26"/>
      <c r="L5" s="25">
        <f t="shared" ca="1" si="2"/>
        <v>-5.5883285759594004E-2</v>
      </c>
      <c r="M5" s="25">
        <f t="shared" ca="1" si="3"/>
        <v>-1.9037300727441475E-2</v>
      </c>
      <c r="N5" s="25">
        <f t="shared" ca="1" si="4"/>
        <v>0.10782506702412853</v>
      </c>
      <c r="O5" s="25">
        <f t="shared" ca="1" si="5"/>
        <v>3.76592626000678E-2</v>
      </c>
      <c r="P5" s="25">
        <f t="shared" ca="1" si="6"/>
        <v>0.17815944629582159</v>
      </c>
      <c r="Q5" s="25">
        <f t="shared" ca="1" si="7"/>
        <v>1.946472019464851E-3</v>
      </c>
      <c r="AG5" s="25"/>
      <c r="AH5" s="25"/>
    </row>
    <row r="6" spans="1:34" x14ac:dyDescent="0.25">
      <c r="A6" s="26"/>
      <c r="B6" vm="25">
        <f ca="1"/>
        <v>148.84</v>
      </c>
      <c r="C6" vm="26">
        <f ca="1"/>
        <v>63.38</v>
      </c>
      <c r="D6" vm="27">
        <f ca="1"/>
        <v>132.22999999999999</v>
      </c>
      <c r="E6" vm="28">
        <f ca="1"/>
        <v>92.03</v>
      </c>
      <c r="F6" vm="29">
        <f ca="1"/>
        <v>45.96</v>
      </c>
      <c r="G6" vm="30">
        <f ca="1"/>
        <v>185.31</v>
      </c>
      <c r="K6" s="26"/>
      <c r="L6" s="25">
        <f t="shared" ca="1" si="2"/>
        <v>-8.1429723192690151E-2</v>
      </c>
      <c r="M6" s="25">
        <f t="shared" ca="1" si="3"/>
        <v>-7.4155885137268118E-3</v>
      </c>
      <c r="N6" s="25">
        <f t="shared" ca="1" si="4"/>
        <v>-0.14837782651440667</v>
      </c>
      <c r="O6" s="25">
        <f t="shared" ca="1" si="5"/>
        <v>-9.3447788764533524E-3</v>
      </c>
      <c r="P6" s="25">
        <f t="shared" ca="1" si="6"/>
        <v>-0.22193211488250664</v>
      </c>
      <c r="Q6" s="25">
        <f t="shared" ca="1" si="7"/>
        <v>-8.6071987480438095E-2</v>
      </c>
      <c r="AG6" s="25"/>
      <c r="AH6" s="25"/>
    </row>
    <row r="7" spans="1:34" x14ac:dyDescent="0.25">
      <c r="A7" s="26"/>
      <c r="B7" vm="31">
        <f ca="1"/>
        <v>136.72</v>
      </c>
      <c r="C7" vm="32">
        <f ca="1"/>
        <v>62.91</v>
      </c>
      <c r="D7" vm="33">
        <f ca="1"/>
        <v>112.61</v>
      </c>
      <c r="E7" vm="34">
        <f ca="1"/>
        <v>91.17</v>
      </c>
      <c r="F7" vm="35">
        <f ca="1"/>
        <v>35.76</v>
      </c>
      <c r="G7" vm="36">
        <f ca="1"/>
        <v>169.36</v>
      </c>
      <c r="K7" s="26"/>
      <c r="L7" s="25">
        <f t="shared" ca="1" si="2"/>
        <v>0.18863370392042134</v>
      </c>
      <c r="M7" s="25">
        <f t="shared" ca="1" si="3"/>
        <v>2.002861230329045E-2</v>
      </c>
      <c r="N7" s="25">
        <f t="shared" ca="1" si="4"/>
        <v>2.4420566557144197E-2</v>
      </c>
      <c r="O7" s="25">
        <f t="shared" ca="1" si="5"/>
        <v>-2.0072392234287584E-2</v>
      </c>
      <c r="P7" s="25">
        <f t="shared" ca="1" si="6"/>
        <v>3.551454138702459E-2</v>
      </c>
      <c r="Q7" s="25">
        <f t="shared" ca="1" si="7"/>
        <v>0.10563297118563986</v>
      </c>
      <c r="AG7" s="25"/>
      <c r="AH7" s="25"/>
    </row>
    <row r="8" spans="1:34" x14ac:dyDescent="0.25">
      <c r="A8" s="26"/>
      <c r="B8" vm="37">
        <f ca="1"/>
        <v>162.51</v>
      </c>
      <c r="C8" vm="38">
        <f ca="1"/>
        <v>64.17</v>
      </c>
      <c r="D8" vm="39">
        <f ca="1"/>
        <v>115.36</v>
      </c>
      <c r="E8" vm="40">
        <f ca="1"/>
        <v>89.34</v>
      </c>
      <c r="F8" vm="41">
        <f ca="1"/>
        <v>37.03</v>
      </c>
      <c r="G8" vm="42">
        <f ca="1"/>
        <v>187.25</v>
      </c>
      <c r="K8" s="26"/>
      <c r="L8" s="25">
        <f t="shared" ca="1" si="2"/>
        <v>-3.255184296350988E-2</v>
      </c>
      <c r="M8" s="25">
        <f t="shared" ca="1" si="3"/>
        <v>-3.833567087424028E-2</v>
      </c>
      <c r="N8" s="25">
        <f t="shared" ca="1" si="4"/>
        <v>-1.4129680998613003E-2</v>
      </c>
      <c r="O8" s="25">
        <f t="shared" ca="1" si="5"/>
        <v>-4.4548914260129857E-2</v>
      </c>
      <c r="P8" s="25">
        <f t="shared" ca="1" si="6"/>
        <v>3.02457466918713E-2</v>
      </c>
      <c r="Q8" s="25">
        <f t="shared" ca="1" si="7"/>
        <v>-2.0026702269692942E-2</v>
      </c>
    </row>
    <row r="9" spans="1:34" x14ac:dyDescent="0.25">
      <c r="A9" s="26"/>
      <c r="B9" vm="43">
        <f ca="1"/>
        <v>157.22</v>
      </c>
      <c r="C9" vm="44">
        <f ca="1"/>
        <v>61.71</v>
      </c>
      <c r="D9" vm="45">
        <f ca="1"/>
        <v>113.73</v>
      </c>
      <c r="E9" vm="46">
        <f ca="1"/>
        <v>85.36</v>
      </c>
      <c r="F9" vm="47">
        <f ca="1"/>
        <v>38.15</v>
      </c>
      <c r="G9" vm="48">
        <f ca="1"/>
        <v>183.5</v>
      </c>
      <c r="K9" s="26"/>
      <c r="L9" s="25">
        <f t="shared" ca="1" si="2"/>
        <v>-0.12097697493957515</v>
      </c>
      <c r="M9" s="25">
        <f t="shared" ca="1" si="3"/>
        <v>-9.2205477232215172E-2</v>
      </c>
      <c r="N9" s="25">
        <f t="shared" ca="1" si="4"/>
        <v>-8.1157126527741208E-2</v>
      </c>
      <c r="O9" s="25">
        <f t="shared" ca="1" si="5"/>
        <v>8.9034676663544143E-3</v>
      </c>
      <c r="P9" s="25">
        <f t="shared" ca="1" si="6"/>
        <v>-5.8977719528178207E-2</v>
      </c>
      <c r="Q9" s="25">
        <f t="shared" ca="1" si="7"/>
        <v>-0.10125340599455046</v>
      </c>
    </row>
    <row r="10" spans="1:34" x14ac:dyDescent="0.25">
      <c r="A10" s="26"/>
      <c r="B10" vm="49">
        <f ca="1"/>
        <v>138.19999999999999</v>
      </c>
      <c r="C10" vm="50">
        <f ca="1"/>
        <v>56.02</v>
      </c>
      <c r="D10" vm="51">
        <f ca="1"/>
        <v>104.5</v>
      </c>
      <c r="E10" vm="52">
        <f ca="1"/>
        <v>86.12</v>
      </c>
      <c r="F10" vm="53">
        <f ca="1"/>
        <v>35.9</v>
      </c>
      <c r="G10" vm="54">
        <f ca="1"/>
        <v>164.92</v>
      </c>
      <c r="K10" s="26"/>
      <c r="L10" s="25">
        <f t="shared" ca="1" si="2"/>
        <v>0.10955137481910282</v>
      </c>
      <c r="M10" s="25">
        <f t="shared" ca="1" si="3"/>
        <v>6.8368439842913187E-2</v>
      </c>
      <c r="N10" s="25">
        <f t="shared" ca="1" si="4"/>
        <v>0.20459330143540666</v>
      </c>
      <c r="O10" s="25">
        <f t="shared" ca="1" si="5"/>
        <v>0.175104505341384</v>
      </c>
      <c r="P10" s="25">
        <f t="shared" ca="1" si="6"/>
        <v>0.44930362116991662</v>
      </c>
      <c r="Q10" s="25">
        <f t="shared" ca="1" si="7"/>
        <v>0.11162988115449934</v>
      </c>
    </row>
    <row r="11" spans="1:34" x14ac:dyDescent="0.25">
      <c r="A11" s="26"/>
      <c r="B11" vm="55">
        <f ca="1"/>
        <v>153.34</v>
      </c>
      <c r="C11" vm="56">
        <f ca="1"/>
        <v>59.85</v>
      </c>
      <c r="D11" vm="57">
        <f ca="1"/>
        <v>125.88</v>
      </c>
      <c r="E11" vm="58">
        <f ca="1"/>
        <v>101.2</v>
      </c>
      <c r="F11" vm="59">
        <f ca="1"/>
        <v>52.03</v>
      </c>
      <c r="G11" vm="60">
        <f ca="1"/>
        <v>183.33</v>
      </c>
      <c r="K11" s="26"/>
      <c r="L11" s="25">
        <f t="shared" ca="1" si="2"/>
        <v>-3.462892917699234E-2</v>
      </c>
      <c r="M11" s="25">
        <f t="shared" ca="1" si="3"/>
        <v>6.2823725981620671E-2</v>
      </c>
      <c r="N11" s="25">
        <f t="shared" ca="1" si="4"/>
        <v>9.7712106768350848E-2</v>
      </c>
      <c r="O11" s="25">
        <f t="shared" ca="1" si="5"/>
        <v>8.8142292490118512E-2</v>
      </c>
      <c r="P11" s="25">
        <f t="shared" ca="1" si="6"/>
        <v>-9.225446857582198E-3</v>
      </c>
      <c r="Q11" s="25">
        <f t="shared" ca="1" si="7"/>
        <v>2.203676430480539E-2</v>
      </c>
    </row>
    <row r="12" spans="1:34" x14ac:dyDescent="0.25">
      <c r="A12" s="26"/>
      <c r="B12" vm="61">
        <f ca="1"/>
        <v>148.03</v>
      </c>
      <c r="C12" vm="62">
        <f ca="1"/>
        <v>63.61</v>
      </c>
      <c r="D12" vm="63">
        <f ca="1"/>
        <v>138.18</v>
      </c>
      <c r="E12" vm="64">
        <f ca="1"/>
        <v>110.12</v>
      </c>
      <c r="F12" vm="65">
        <f ca="1"/>
        <v>51.55</v>
      </c>
      <c r="G12" vm="66">
        <f ca="1"/>
        <v>187.37</v>
      </c>
      <c r="K12" s="26"/>
      <c r="L12" s="25">
        <f t="shared" ca="1" si="2"/>
        <v>-0.12227251232858205</v>
      </c>
      <c r="M12" s="25">
        <f t="shared" ca="1" si="3"/>
        <v>0</v>
      </c>
      <c r="N12" s="25">
        <f t="shared" ca="1" si="4"/>
        <v>-2.9526704298740825E-2</v>
      </c>
      <c r="O12" s="25">
        <f t="shared" ca="1" si="5"/>
        <v>7.5372321104250073E-3</v>
      </c>
      <c r="P12" s="25">
        <f t="shared" ca="1" si="6"/>
        <v>3.7051406401551912E-2</v>
      </c>
      <c r="Q12" s="25">
        <f t="shared" ca="1" si="7"/>
        <v>-6.9434808133639225E-2</v>
      </c>
      <c r="AC12" s="18" t="s">
        <v>89</v>
      </c>
    </row>
    <row r="13" spans="1:34" x14ac:dyDescent="0.25">
      <c r="A13" s="26"/>
      <c r="B13" vm="67">
        <f ca="1"/>
        <v>129.93</v>
      </c>
      <c r="C13" vm="62">
        <f ca="1"/>
        <v>63.61</v>
      </c>
      <c r="D13" vm="68">
        <f ca="1"/>
        <v>134.1</v>
      </c>
      <c r="E13" vm="69">
        <f ca="1"/>
        <v>110.95</v>
      </c>
      <c r="F13" vm="70">
        <f ca="1"/>
        <v>53.46</v>
      </c>
      <c r="G13" vm="71">
        <f ca="1"/>
        <v>174.36</v>
      </c>
      <c r="K13" s="26"/>
      <c r="L13" s="25">
        <f t="shared" ca="1" si="2"/>
        <v>0.11052104979604382</v>
      </c>
      <c r="M13" s="25">
        <f t="shared" ca="1" si="3"/>
        <v>-3.6000628831944659E-2</v>
      </c>
      <c r="N13" s="25">
        <f t="shared" ca="1" si="4"/>
        <v>4.3698732289336517E-2</v>
      </c>
      <c r="O13" s="25">
        <f t="shared" ca="1" si="5"/>
        <v>-3.1906264082920299E-2</v>
      </c>
      <c r="P13" s="25">
        <f t="shared" ca="1" si="6"/>
        <v>6.5843621399176877E-2</v>
      </c>
      <c r="Q13" s="25">
        <f t="shared" ca="1" si="7"/>
        <v>9.8187657719660315E-2</v>
      </c>
      <c r="V13" s="31" t="str">
        <f>B1</f>
        <v>AAPL</v>
      </c>
      <c r="W13" s="31" t="str">
        <f>C1</f>
        <v xml:space="preserve">KO </v>
      </c>
      <c r="X13" s="31" t="str">
        <f>D1</f>
        <v>JPM</v>
      </c>
      <c r="Y13" s="31" t="str">
        <f>E1</f>
        <v>MRK</v>
      </c>
      <c r="Z13" s="31" t="str">
        <f>F1</f>
        <v>SLB</v>
      </c>
      <c r="AC13" s="31" t="str">
        <f>G1</f>
        <v>IWM</v>
      </c>
    </row>
    <row r="14" spans="1:34" x14ac:dyDescent="0.25">
      <c r="A14" s="26"/>
      <c r="B14" vm="72">
        <f ca="1"/>
        <v>144.29</v>
      </c>
      <c r="C14" vm="73">
        <f ca="1"/>
        <v>61.32</v>
      </c>
      <c r="D14" vm="74">
        <f ca="1"/>
        <v>139.96</v>
      </c>
      <c r="E14" vm="75">
        <f ca="1"/>
        <v>107.41</v>
      </c>
      <c r="F14" vm="76">
        <f ca="1"/>
        <v>56.98</v>
      </c>
      <c r="G14" vm="77">
        <f ca="1"/>
        <v>191.48</v>
      </c>
      <c r="K14" s="26"/>
      <c r="L14" s="25">
        <f t="shared" ca="1" si="2"/>
        <v>2.1623120105343396E-2</v>
      </c>
      <c r="M14" s="25">
        <f t="shared" ca="1" si="3"/>
        <v>-2.9517286366601447E-2</v>
      </c>
      <c r="N14" s="25">
        <f t="shared" ca="1" si="4"/>
        <v>2.422120605887379E-2</v>
      </c>
      <c r="O14" s="25">
        <f t="shared" ca="1" si="5"/>
        <v>-1.0892840517642721E-2</v>
      </c>
      <c r="P14" s="25">
        <f t="shared" ca="1" si="6"/>
        <v>-6.6163566163566112E-2</v>
      </c>
      <c r="Q14" s="25">
        <f t="shared" ca="1" si="7"/>
        <v>-1.7234175893043546E-2</v>
      </c>
      <c r="V14" s="18" cm="1">
        <f t="array" aca="1" ref="V14" ca="1">_xlfn.COVARIANCE.P(_xlfn._xlws.FILTER(L:L, (L:L &lt;&gt; "") * ($Q:$Q &lt;&gt; "")), _xlfn._xlws.FILTER($Q:$Q, (L:L &lt;&gt; "") * ($Q:$Q &lt;&gt; "")))</f>
        <v>2.9281287776440901E-3</v>
      </c>
      <c r="W14" s="18" cm="1">
        <f t="array" aca="1" ref="W14" ca="1">_xlfn.COVARIANCE.P(_xlfn._xlws.FILTER(M:M, (M:M &lt;&gt; "") * ($Q:$Q &lt;&gt; "")), _xlfn._xlws.FILTER($Q:$Q, (M:M &lt;&gt; "") * ($Q:$Q &lt;&gt; "")))</f>
        <v>8.2427688091452176E-4</v>
      </c>
      <c r="X14" s="18" cm="1">
        <f t="array" aca="1" ref="X14" ca="1">_xlfn.COVARIANCE.P(_xlfn._xlws.FILTER(N:N, (N:N &lt;&gt; "") * ($Q:$Q &lt;&gt; "")), _xlfn._xlws.FILTER($Q:$Q, (N:N &lt;&gt; "") * ($Q:$Q &lt;&gt; "")))</f>
        <v>3.806923772302804E-3</v>
      </c>
      <c r="Y14" s="18" cm="1">
        <f t="array" aca="1" ref="Y14" ca="1">_xlfn.COVARIANCE.P(_xlfn._xlws.FILTER(O:O, (O:O &lt;&gt; "") * ($Q:$Q &lt;&gt; "")), _xlfn._xlws.FILTER($Q:$Q, (O:O &lt;&gt; "") * ($Q:$Q &lt;&gt; "")))</f>
        <v>2.2825356938202445E-4</v>
      </c>
      <c r="Z14" s="18" cm="1">
        <f t="array" aca="1" ref="Z14" ca="1">_xlfn.COVARIANCE.P(_xlfn._xlws.FILTER(P:P, (P:P &lt;&gt; "") * ($Q:$Q &lt;&gt; "")), _xlfn._xlws.FILTER($Q:$Q, (P:P &lt;&gt; "") * ($Q:$Q &lt;&gt; "")))</f>
        <v>4.1724729185072772E-3</v>
      </c>
      <c r="AC14" s="18" cm="1">
        <f t="array" aca="1" ref="AC14" ca="1">_xlfn.VAR.P(_xlfn._xlws.FILTER(Q:Q, Q:Q &lt;&gt; ""))</f>
        <v>4.2427621874376277E-3</v>
      </c>
    </row>
    <row r="15" spans="1:34" x14ac:dyDescent="0.25">
      <c r="A15" s="26"/>
      <c r="B15" vm="78">
        <f ca="1"/>
        <v>147.41</v>
      </c>
      <c r="C15" vm="79">
        <f ca="1"/>
        <v>59.51</v>
      </c>
      <c r="D15" vm="80">
        <f ca="1"/>
        <v>143.35</v>
      </c>
      <c r="E15" vm="81">
        <f ca="1"/>
        <v>106.24</v>
      </c>
      <c r="F15" vm="82">
        <f ca="1"/>
        <v>53.21</v>
      </c>
      <c r="G15" vm="83">
        <f ca="1"/>
        <v>188.18</v>
      </c>
      <c r="K15" s="26"/>
      <c r="L15" s="25">
        <f t="shared" ca="1" si="2"/>
        <v>0.11864866698324406</v>
      </c>
      <c r="M15" s="25">
        <f t="shared" ca="1" si="3"/>
        <v>4.2345824231221796E-2</v>
      </c>
      <c r="N15" s="25">
        <f t="shared" ca="1" si="4"/>
        <v>-9.0966166724799402E-2</v>
      </c>
      <c r="O15" s="25">
        <f t="shared" ca="1" si="5"/>
        <v>1.4118975903614217E-3</v>
      </c>
      <c r="P15" s="25">
        <f t="shared" ca="1" si="6"/>
        <v>-7.7241120090208559E-2</v>
      </c>
      <c r="Q15" s="25">
        <f t="shared" ca="1" si="7"/>
        <v>-5.1971516633010917E-2</v>
      </c>
      <c r="U15" s="30" t="s">
        <v>88</v>
      </c>
      <c r="V15" s="30">
        <f ca="1">V14/$AC$14</f>
        <v>0.69014680726484534</v>
      </c>
      <c r="W15" s="30">
        <f ca="1">W14/$AC$14</f>
        <v>0.19427836029912751</v>
      </c>
      <c r="X15" s="30">
        <f ca="1">X14/$AC$14</f>
        <v>0.89727484221828524</v>
      </c>
      <c r="Y15" s="30">
        <f ca="1">Y14/$AC$14</f>
        <v>5.3798341575179313E-2</v>
      </c>
      <c r="Z15" s="30">
        <f ca="1">Z14/$AC$14</f>
        <v>0.98343313487178952</v>
      </c>
    </row>
    <row r="16" spans="1:34" x14ac:dyDescent="0.25">
      <c r="A16" s="26"/>
      <c r="B16" vm="84">
        <f ca="1"/>
        <v>164.9</v>
      </c>
      <c r="C16" vm="85">
        <f ca="1"/>
        <v>62.03</v>
      </c>
      <c r="D16" vm="86">
        <f ca="1"/>
        <v>130.31</v>
      </c>
      <c r="E16" vm="87">
        <f ca="1"/>
        <v>106.39</v>
      </c>
      <c r="F16" vm="88">
        <f ca="1"/>
        <v>49.1</v>
      </c>
      <c r="G16" vm="89">
        <f ca="1"/>
        <v>178.4</v>
      </c>
      <c r="K16" s="26"/>
      <c r="L16" s="25">
        <f t="shared" ca="1" si="2"/>
        <v>2.8987265009096319E-2</v>
      </c>
      <c r="M16" s="25">
        <f t="shared" ca="1" si="3"/>
        <v>3.4177011123649903E-2</v>
      </c>
      <c r="N16" s="25">
        <f t="shared" ca="1" si="4"/>
        <v>6.0854884506177598E-2</v>
      </c>
      <c r="O16" s="25">
        <f t="shared" ca="1" si="5"/>
        <v>8.5346367139768731E-2</v>
      </c>
      <c r="P16" s="25">
        <f t="shared" ca="1" si="6"/>
        <v>5.0916496945010437E-3</v>
      </c>
      <c r="Q16" s="25">
        <f t="shared" ca="1" si="7"/>
        <v>-1.7937219730941756E-2</v>
      </c>
    </row>
    <row r="17" spans="1:33" x14ac:dyDescent="0.25">
      <c r="A17" s="26"/>
      <c r="B17" vm="90">
        <f ca="1"/>
        <v>169.68</v>
      </c>
      <c r="C17" vm="91">
        <f ca="1"/>
        <v>64.150000000000006</v>
      </c>
      <c r="D17" vm="92">
        <f ca="1"/>
        <v>138.24</v>
      </c>
      <c r="E17" vm="93">
        <f ca="1"/>
        <v>115.47</v>
      </c>
      <c r="F17" vm="94">
        <f ca="1"/>
        <v>49.35</v>
      </c>
      <c r="G17" vm="95">
        <f ca="1"/>
        <v>175.2</v>
      </c>
      <c r="K17" s="26"/>
      <c r="L17" s="25">
        <f t="shared" ca="1" si="2"/>
        <v>4.4613389910419521E-2</v>
      </c>
      <c r="M17" s="25">
        <f t="shared" ca="1" si="3"/>
        <v>-6.9992205767732019E-2</v>
      </c>
      <c r="N17" s="25">
        <f t="shared" ca="1" si="4"/>
        <v>-1.830150462962965E-2</v>
      </c>
      <c r="O17" s="25">
        <f t="shared" ca="1" si="5"/>
        <v>-4.3820905862994697E-2</v>
      </c>
      <c r="P17" s="25">
        <f t="shared" ca="1" si="6"/>
        <v>-0.13211752786220876</v>
      </c>
      <c r="Q17" s="25">
        <f t="shared" ca="1" si="7"/>
        <v>-8.1621004566209132E-3</v>
      </c>
    </row>
    <row r="18" spans="1:33" x14ac:dyDescent="0.25">
      <c r="A18" s="26"/>
      <c r="B18" vm="96">
        <f ca="1"/>
        <v>177.25</v>
      </c>
      <c r="C18" vm="97">
        <f ca="1"/>
        <v>59.66</v>
      </c>
      <c r="D18" vm="98">
        <f ca="1"/>
        <v>135.71</v>
      </c>
      <c r="E18" vm="99">
        <f ca="1"/>
        <v>110.41</v>
      </c>
      <c r="F18" vm="100">
        <f ca="1"/>
        <v>42.83</v>
      </c>
      <c r="G18" vm="101">
        <f ca="1"/>
        <v>173.77</v>
      </c>
      <c r="K18" s="26"/>
      <c r="L18" s="25">
        <f t="shared" ca="1" si="2"/>
        <v>9.4330042313117035E-2</v>
      </c>
      <c r="M18" s="25">
        <f t="shared" ca="1" si="3"/>
        <v>9.3865236339256697E-3</v>
      </c>
      <c r="N18" s="25">
        <f t="shared" ca="1" si="4"/>
        <v>7.1697000957924972E-2</v>
      </c>
      <c r="O18" s="25">
        <f t="shared" ca="1" si="5"/>
        <v>4.5104610089665931E-2</v>
      </c>
      <c r="P18" s="25">
        <f t="shared" ca="1" si="6"/>
        <v>0.14685967779593745</v>
      </c>
      <c r="Q18" s="25">
        <f t="shared" ca="1" si="7"/>
        <v>7.7688899119525701E-2</v>
      </c>
    </row>
    <row r="19" spans="1:33" x14ac:dyDescent="0.25">
      <c r="A19" s="26"/>
      <c r="B19" vm="102">
        <f ca="1"/>
        <v>193.97</v>
      </c>
      <c r="C19" vm="103">
        <f ca="1"/>
        <v>60.22</v>
      </c>
      <c r="D19" vm="104">
        <f ca="1"/>
        <v>145.44</v>
      </c>
      <c r="E19" vm="105">
        <f ca="1"/>
        <v>115.39</v>
      </c>
      <c r="F19" vm="106">
        <f ca="1"/>
        <v>49.12</v>
      </c>
      <c r="G19" vm="107">
        <f ca="1"/>
        <v>187.27</v>
      </c>
      <c r="K19" s="26"/>
      <c r="L19" s="25">
        <f t="shared" ca="1" si="2"/>
        <v>1.2785482291075789E-2</v>
      </c>
      <c r="M19" s="25">
        <f t="shared" ca="1" si="3"/>
        <v>2.8395881766854814E-2</v>
      </c>
      <c r="N19" s="25">
        <f t="shared" ca="1" si="4"/>
        <v>8.6083608360836061E-2</v>
      </c>
      <c r="O19" s="25">
        <f t="shared" ca="1" si="5"/>
        <v>-7.5743131987173862E-2</v>
      </c>
      <c r="P19" s="25">
        <f t="shared" ca="1" si="6"/>
        <v>0.18770358306188939</v>
      </c>
      <c r="Q19" s="25">
        <f t="shared" ca="1" si="7"/>
        <v>6.1088268275751645E-2</v>
      </c>
    </row>
    <row r="20" spans="1:33" x14ac:dyDescent="0.25">
      <c r="A20" s="26"/>
      <c r="B20" vm="108">
        <f ca="1"/>
        <v>196.45</v>
      </c>
      <c r="C20" vm="109">
        <f ca="1"/>
        <v>61.93</v>
      </c>
      <c r="D20" vm="110">
        <f ca="1"/>
        <v>157.96</v>
      </c>
      <c r="E20" vm="111">
        <f ca="1"/>
        <v>106.65</v>
      </c>
      <c r="F20" vm="112">
        <f ca="1"/>
        <v>58.34</v>
      </c>
      <c r="G20" vm="113">
        <f ca="1"/>
        <v>198.71</v>
      </c>
      <c r="K20" s="26"/>
      <c r="L20" s="25">
        <f t="shared" ca="1" si="2"/>
        <v>-4.3675235428862202E-2</v>
      </c>
      <c r="M20" s="25">
        <f t="shared" ca="1" si="3"/>
        <v>-3.3909252381721267E-2</v>
      </c>
      <c r="N20" s="25">
        <f t="shared" ca="1" si="4"/>
        <v>-7.3626234489744258E-2</v>
      </c>
      <c r="O20" s="25">
        <f t="shared" ca="1" si="5"/>
        <v>2.1847163619315602E-2</v>
      </c>
      <c r="P20" s="25">
        <f t="shared" ca="1" si="6"/>
        <v>1.0627356873500027E-2</v>
      </c>
      <c r="Q20" s="25">
        <f t="shared" ca="1" si="7"/>
        <v>-5.0827839565195432E-2</v>
      </c>
    </row>
    <row r="21" spans="1:33" x14ac:dyDescent="0.25">
      <c r="A21" s="26"/>
      <c r="B21" vm="114">
        <f ca="1"/>
        <v>187.87</v>
      </c>
      <c r="C21" vm="115">
        <f ca="1"/>
        <v>59.83</v>
      </c>
      <c r="D21" vm="116">
        <f ca="1"/>
        <v>146.33000000000001</v>
      </c>
      <c r="E21" vm="117">
        <f ca="1"/>
        <v>108.98</v>
      </c>
      <c r="F21" vm="118">
        <f ca="1"/>
        <v>58.96</v>
      </c>
      <c r="G21" vm="119">
        <f ca="1"/>
        <v>188.61</v>
      </c>
      <c r="K21" s="26"/>
      <c r="L21" s="25">
        <f t="shared" ca="1" si="2"/>
        <v>-8.8678341406291605E-2</v>
      </c>
      <c r="M21" s="25">
        <f t="shared" ca="1" si="3"/>
        <v>-6.4348988801604556E-2</v>
      </c>
      <c r="N21" s="25">
        <f t="shared" ca="1" si="4"/>
        <v>-8.952367935488259E-3</v>
      </c>
      <c r="O21" s="25">
        <f t="shared" ca="1" si="5"/>
        <v>-5.5331253440998318E-2</v>
      </c>
      <c r="P21" s="25">
        <f t="shared" ca="1" si="6"/>
        <v>-1.1194029850746356E-2</v>
      </c>
      <c r="Q21" s="25">
        <f t="shared" ca="1" si="7"/>
        <v>-6.2934096813530571E-2</v>
      </c>
      <c r="AC21" s="29"/>
      <c r="AD21" s="29"/>
      <c r="AE21" s="29"/>
      <c r="AF21" s="29"/>
      <c r="AG21" s="29"/>
    </row>
    <row r="22" spans="1:33" x14ac:dyDescent="0.25">
      <c r="A22" s="26"/>
      <c r="B22" vm="120">
        <f ca="1"/>
        <v>171.21</v>
      </c>
      <c r="C22" vm="121">
        <f ca="1"/>
        <v>55.98</v>
      </c>
      <c r="D22" vm="122">
        <f ca="1"/>
        <v>145.02000000000001</v>
      </c>
      <c r="E22" vm="123">
        <f ca="1"/>
        <v>102.95</v>
      </c>
      <c r="F22" vm="124">
        <f ca="1"/>
        <v>58.3</v>
      </c>
      <c r="G22" vm="125">
        <f ca="1"/>
        <v>176.74</v>
      </c>
      <c r="K22" s="26"/>
      <c r="L22" s="25">
        <f t="shared" ca="1" si="2"/>
        <v>-2.5699433444308362E-3</v>
      </c>
      <c r="M22" s="25">
        <f t="shared" ca="1" si="3"/>
        <v>9.1103965702037382E-3</v>
      </c>
      <c r="N22" s="25">
        <f t="shared" ca="1" si="4"/>
        <v>-4.1097779616604657E-2</v>
      </c>
      <c r="O22" s="25">
        <f t="shared" ca="1" si="5"/>
        <v>-2.4283632831471058E-3</v>
      </c>
      <c r="P22" s="25">
        <f t="shared" ca="1" si="6"/>
        <v>-4.5283018867924518E-2</v>
      </c>
      <c r="Q22" s="25">
        <f t="shared" ca="1" si="7"/>
        <v>-6.9141111236845076E-2</v>
      </c>
      <c r="AB22" s="29"/>
    </row>
    <row r="23" spans="1:33" x14ac:dyDescent="0.25">
      <c r="A23" s="26"/>
      <c r="B23" vm="126">
        <f ca="1"/>
        <v>170.77</v>
      </c>
      <c r="C23" vm="127">
        <f ca="1"/>
        <v>56.49</v>
      </c>
      <c r="D23" vm="128">
        <f ca="1"/>
        <v>139.06</v>
      </c>
      <c r="E23" vm="129">
        <f ca="1"/>
        <v>102.7</v>
      </c>
      <c r="F23" vm="130">
        <f ca="1"/>
        <v>55.66</v>
      </c>
      <c r="G23" vm="131">
        <f ca="1"/>
        <v>164.52</v>
      </c>
      <c r="K23" s="26"/>
      <c r="L23" s="25">
        <f t="shared" ca="1" si="2"/>
        <v>0.1123148093927504</v>
      </c>
      <c r="M23" s="25">
        <f t="shared" ca="1" si="3"/>
        <v>3.4519383961763017E-2</v>
      </c>
      <c r="N23" s="25">
        <f t="shared" ca="1" si="4"/>
        <v>0.12239321156335392</v>
      </c>
      <c r="O23" s="25">
        <f t="shared" ca="1" si="5"/>
        <v>-2.1421616358324735E-3</v>
      </c>
      <c r="P23" s="25">
        <f t="shared" ca="1" si="6"/>
        <v>-6.503772906934957E-2</v>
      </c>
      <c r="Q23" s="25">
        <f t="shared" ca="1" si="7"/>
        <v>9.2025285679552482E-2</v>
      </c>
      <c r="AB23" s="29"/>
    </row>
    <row r="24" spans="1:33" x14ac:dyDescent="0.25">
      <c r="A24" s="26"/>
      <c r="B24" vm="132">
        <f ca="1"/>
        <v>189.95</v>
      </c>
      <c r="C24" vm="133">
        <f ca="1"/>
        <v>58.44</v>
      </c>
      <c r="D24" vm="134">
        <f ca="1"/>
        <v>156.08000000000001</v>
      </c>
      <c r="E24" vm="135">
        <f ca="1"/>
        <v>102.48</v>
      </c>
      <c r="F24" vm="136">
        <f ca="1"/>
        <v>52.04</v>
      </c>
      <c r="G24" vm="137">
        <f ca="1"/>
        <v>179.66</v>
      </c>
      <c r="K24" s="26"/>
      <c r="L24" s="25">
        <f t="shared" ca="1" si="2"/>
        <v>1.3582521716241081E-2</v>
      </c>
      <c r="M24" s="25">
        <f t="shared" ca="1" si="3"/>
        <v>8.3846680355921244E-3</v>
      </c>
      <c r="N24" s="25">
        <f t="shared" ca="1" si="4"/>
        <v>8.9825730394669234E-2</v>
      </c>
      <c r="O24" s="25">
        <f t="shared" ca="1" si="5"/>
        <v>6.3817330210772738E-2</v>
      </c>
      <c r="P24" s="25">
        <f t="shared" ca="1" si="6"/>
        <v>0</v>
      </c>
      <c r="Q24" s="25">
        <f t="shared" ca="1" si="7"/>
        <v>0.11716575754202396</v>
      </c>
      <c r="V24" s="28" t="s">
        <v>87</v>
      </c>
      <c r="W24" s="28"/>
      <c r="AB24" s="29"/>
    </row>
    <row r="25" spans="1:33" x14ac:dyDescent="0.25">
      <c r="A25" s="26"/>
      <c r="B25" vm="138">
        <f ca="1"/>
        <v>192.53</v>
      </c>
      <c r="C25" vm="139">
        <f ca="1"/>
        <v>58.93</v>
      </c>
      <c r="D25" vm="140">
        <f ca="1"/>
        <v>170.1</v>
      </c>
      <c r="E25" vm="141">
        <f ca="1"/>
        <v>109.02</v>
      </c>
      <c r="F25" vm="136">
        <f ca="1"/>
        <v>52.04</v>
      </c>
      <c r="G25" vm="142">
        <f ca="1"/>
        <v>200.71</v>
      </c>
      <c r="K25" s="26"/>
      <c r="L25" s="25">
        <f t="shared" ca="1" si="2"/>
        <v>-4.2227185373707954E-2</v>
      </c>
      <c r="M25" s="25">
        <f t="shared" ca="1" si="3"/>
        <v>9.5027999321228851E-3</v>
      </c>
      <c r="N25" s="25">
        <f t="shared" ca="1" si="4"/>
        <v>2.5044091710758387E-2</v>
      </c>
      <c r="O25" s="25">
        <f t="shared" ca="1" si="5"/>
        <v>0.10787011557512383</v>
      </c>
      <c r="P25" s="25">
        <f t="shared" ca="1" si="6"/>
        <v>-6.418139892390462E-2</v>
      </c>
      <c r="Q25" s="25">
        <f t="shared" ca="1" si="7"/>
        <v>-3.9011509142544032E-2</v>
      </c>
      <c r="V25" s="27"/>
      <c r="W25" s="27" t="s">
        <v>85</v>
      </c>
      <c r="X25" s="27" t="s">
        <v>84</v>
      </c>
      <c r="Y25" s="27" t="s">
        <v>83</v>
      </c>
      <c r="Z25" s="27" t="s">
        <v>82</v>
      </c>
      <c r="AA25" s="27" t="s">
        <v>81</v>
      </c>
      <c r="AB25" s="29"/>
    </row>
    <row r="26" spans="1:33" x14ac:dyDescent="0.25">
      <c r="A26" s="26"/>
      <c r="B26" vm="143">
        <f ca="1"/>
        <v>184.4</v>
      </c>
      <c r="C26" vm="144">
        <f ca="1"/>
        <v>59.49</v>
      </c>
      <c r="D26" vm="71">
        <f ca="1"/>
        <v>174.36</v>
      </c>
      <c r="E26" vm="145">
        <f ca="1"/>
        <v>120.78</v>
      </c>
      <c r="F26" vm="146">
        <f ca="1"/>
        <v>48.7</v>
      </c>
      <c r="G26" vm="147">
        <f ca="1"/>
        <v>192.88</v>
      </c>
      <c r="K26" s="26"/>
      <c r="L26" s="25">
        <f t="shared" ca="1" si="2"/>
        <v>-1.9793926247288485E-2</v>
      </c>
      <c r="M26" s="25">
        <f t="shared" ca="1" si="3"/>
        <v>8.9090603462766982E-3</v>
      </c>
      <c r="N26" s="25">
        <f t="shared" ca="1" si="4"/>
        <v>6.710254645560898E-2</v>
      </c>
      <c r="O26" s="25">
        <f t="shared" ca="1" si="5"/>
        <v>5.2740519953634823E-2</v>
      </c>
      <c r="P26" s="25">
        <f t="shared" ca="1" si="6"/>
        <v>-7.5975359342916882E-3</v>
      </c>
      <c r="Q26" s="25">
        <f t="shared" ca="1" si="7"/>
        <v>5.6252592285358727E-2</v>
      </c>
      <c r="V26" s="18" t="s">
        <v>85</v>
      </c>
      <c r="W26" s="18" cm="1">
        <f t="array" aca="1" ref="W26" ca="1">CORREL(_xlfn._xlws.FILTER($L:$L, ($L:$L &lt;&gt; "") * ($L:$L &lt;&gt; "")), _xlfn._xlws.FILTER(L:L, (L:L &lt;&gt; "") * (L:L &lt;&gt; "")))</f>
        <v>1</v>
      </c>
      <c r="X26" s="18" cm="1">
        <f t="array" aca="1" ref="X26" ca="1">CORREL(_xlfn._xlws.FILTER($L:$L, ($L:$L &lt;&gt; "") * ($L:$L &lt;&gt; "")), _xlfn._xlws.FILTER(M:M, (M:M &lt;&gt; "") * (M:M &lt;&gt; "")))</f>
        <v>0.30126211747186482</v>
      </c>
      <c r="Y26" s="18" cm="1">
        <f t="array" aca="1" ref="Y26" ca="1">CORREL(_xlfn._xlws.FILTER($L:$L, ($L:$L &lt;&gt; "") * ($L:$L &lt;&gt; "")), _xlfn._xlws.FILTER(N:N, (N:N &lt;&gt; "") * (N:N &lt;&gt; "")))</f>
        <v>0.33283540651722743</v>
      </c>
      <c r="Z26" s="18" cm="1">
        <f t="array" aca="1" ref="Z26" ca="1">CORREL(_xlfn._xlws.FILTER($L:$L, ($L:$L &lt;&gt; "") * ($L:$L &lt;&gt; "")), _xlfn._xlws.FILTER(O:O, (O:O &lt;&gt; "") * (O:O &lt;&gt; "")))</f>
        <v>1.8845184899859098E-2</v>
      </c>
      <c r="AA26" s="18" cm="1">
        <f t="array" aca="1" ref="AA26" ca="1">CORREL(_xlfn._xlws.FILTER($L:$L, ($L:$L &lt;&gt; "") * ($L:$L &lt;&gt; "")), _xlfn._xlws.FILTER(P:P, (P:P &lt;&gt; "") * (P:P &lt;&gt; "")))</f>
        <v>0.1964318337690022</v>
      </c>
      <c r="AB26" s="29"/>
    </row>
    <row r="27" spans="1:33" x14ac:dyDescent="0.25">
      <c r="A27" s="26"/>
      <c r="B27" vm="148">
        <f ca="1"/>
        <v>180.75</v>
      </c>
      <c r="C27" vm="149">
        <f ca="1"/>
        <v>60.02</v>
      </c>
      <c r="D27" vm="150">
        <f ca="1"/>
        <v>186.06</v>
      </c>
      <c r="E27" vm="151">
        <f ca="1"/>
        <v>127.15</v>
      </c>
      <c r="F27" vm="152">
        <f ca="1"/>
        <v>48.33</v>
      </c>
      <c r="G27" vm="153">
        <f ca="1"/>
        <v>203.73</v>
      </c>
      <c r="K27" s="26"/>
      <c r="L27" s="25">
        <f t="shared" ca="1" si="2"/>
        <v>-5.1286307053941993E-2</v>
      </c>
      <c r="M27" s="25">
        <f t="shared" ca="1" si="3"/>
        <v>1.9326891036321125E-2</v>
      </c>
      <c r="N27" s="25">
        <f t="shared" ca="1" si="4"/>
        <v>7.6534451252284308E-2</v>
      </c>
      <c r="O27" s="25">
        <f t="shared" ca="1" si="5"/>
        <v>3.7750688163586288E-2</v>
      </c>
      <c r="P27" s="25">
        <f t="shared" ca="1" si="6"/>
        <v>0.13407821229050287</v>
      </c>
      <c r="Q27" s="25">
        <f t="shared" ca="1" si="7"/>
        <v>3.2248564276248004E-2</v>
      </c>
      <c r="V27" s="18" t="s">
        <v>84</v>
      </c>
      <c r="W27" s="18" cm="1">
        <f t="array" aca="1" ref="W27" ca="1">CORREL(_xlfn._xlws.FILTER($M:$M, ($M:$M &lt;&gt; "") * ($M:$M &lt;&gt; "")), _xlfn._xlws.FILTER(L:L, (L:L &lt;&gt; "") * (L:L &lt;&gt; "")))</f>
        <v>0.30126211747186482</v>
      </c>
      <c r="X27" s="18" cm="1">
        <f t="array" aca="1" ref="X27" ca="1">CORREL(_xlfn._xlws.FILTER($M:$M, ($M:$M &lt;&gt; "") * ($M:$M &lt;&gt; "")), _xlfn._xlws.FILTER(M:M, (M:M &lt;&gt; "") * (M:M &lt;&gt; "")))</f>
        <v>1.0000000000000002</v>
      </c>
      <c r="Y27" s="18" cm="1">
        <f t="array" aca="1" ref="Y27" ca="1">CORREL(_xlfn._xlws.FILTER($M:$M, ($M:$M &lt;&gt; "") * ($M:$M &lt;&gt; "")), _xlfn._xlws.FILTER(N:N, (N:N &lt;&gt; "") * (N:N &lt;&gt; "")))</f>
        <v>0.31235379183881296</v>
      </c>
      <c r="Z27" s="18" cm="1">
        <f t="array" aca="1" ref="Z27" ca="1">CORREL(_xlfn._xlws.FILTER($M:$M, ($M:$M &lt;&gt; "") * ($M:$M &lt;&gt; "")), _xlfn._xlws.FILTER(O:O, (O:O &lt;&gt; "") * (O:O &lt;&gt; "")))</f>
        <v>0.42783474870672294</v>
      </c>
      <c r="AA27" s="18" cm="1">
        <f t="array" aca="1" ref="AA27" ca="1">CORREL(_xlfn._xlws.FILTER($M:$M, ($M:$M &lt;&gt; "") * ($M:$M &lt;&gt; "")), _xlfn._xlws.FILTER(P:P, (P:P &lt;&gt; "") * (P:P &lt;&gt; "")))</f>
        <v>0.24765560746696774</v>
      </c>
    </row>
    <row r="28" spans="1:33" x14ac:dyDescent="0.25">
      <c r="A28" s="26"/>
      <c r="B28" vm="154">
        <f ca="1"/>
        <v>171.48</v>
      </c>
      <c r="C28" vm="155">
        <f ca="1"/>
        <v>61.18</v>
      </c>
      <c r="D28" vm="156">
        <f ca="1"/>
        <v>200.3</v>
      </c>
      <c r="E28" vm="157">
        <f ca="1"/>
        <v>131.94999999999999</v>
      </c>
      <c r="F28" vm="158">
        <f ca="1"/>
        <v>54.81</v>
      </c>
      <c r="G28" vm="159">
        <f ca="1"/>
        <v>210.3</v>
      </c>
      <c r="K28" s="26"/>
      <c r="L28" s="25">
        <f t="shared" ca="1" si="2"/>
        <v>-6.7063214369020852E-3</v>
      </c>
      <c r="M28" s="25">
        <f t="shared" ca="1" si="3"/>
        <v>9.64367440339986E-3</v>
      </c>
      <c r="N28" s="25">
        <f t="shared" ca="1" si="4"/>
        <v>-4.273589615576634E-2</v>
      </c>
      <c r="O28" s="25">
        <f t="shared" ca="1" si="5"/>
        <v>-2.0689655172413723E-2</v>
      </c>
      <c r="P28" s="25">
        <f t="shared" ca="1" si="6"/>
        <v>-0.13373471994161656</v>
      </c>
      <c r="Q28" s="25">
        <f t="shared" ca="1" si="7"/>
        <v>-6.8473609129814594E-2</v>
      </c>
      <c r="V28" s="18" t="s">
        <v>83</v>
      </c>
      <c r="W28" s="18" cm="1">
        <f t="array" aca="1" ref="W28" ca="1">CORREL(_xlfn._xlws.FILTER($N:$N, ($N:$N &lt;&gt; "") * ($N:$N &lt;&gt; "")), _xlfn._xlws.FILTER(L:L, (L:L &lt;&gt; "") * (L:L &lt;&gt; "")))</f>
        <v>0.33283540651722743</v>
      </c>
      <c r="X28" s="18" cm="1">
        <f t="array" aca="1" ref="X28" ca="1">CORREL(_xlfn._xlws.FILTER($N:$N, ($N:$N &lt;&gt; "") * ($N:$N &lt;&gt; "")), _xlfn._xlws.FILTER(M:M, (M:M &lt;&gt; "") * (M:M &lt;&gt; "")))</f>
        <v>0.31235379183881296</v>
      </c>
      <c r="Y28" s="18" cm="1">
        <f t="array" aca="1" ref="Y28" ca="1">CORREL(_xlfn._xlws.FILTER($N:$N, ($N:$N &lt;&gt; "") * ($N:$N &lt;&gt; "")), _xlfn._xlws.FILTER(N:N, (N:N &lt;&gt; "") * (N:N &lt;&gt; "")))</f>
        <v>1.0000000000000002</v>
      </c>
      <c r="Z28" s="18" cm="1">
        <f t="array" aca="1" ref="Z28" ca="1">CORREL(_xlfn._xlws.FILTER($N:$N, ($N:$N &lt;&gt; "") * ($N:$N &lt;&gt; "")), _xlfn._xlws.FILTER(O:O, (O:O &lt;&gt; "") * (O:O &lt;&gt; "")))</f>
        <v>0.24097650339287666</v>
      </c>
      <c r="AA28" s="18" cm="1">
        <f t="array" aca="1" ref="AA28" ca="1">CORREL(_xlfn._xlws.FILTER($N:$N, ($N:$N &lt;&gt; "") * ($N:$N &lt;&gt; "")), _xlfn._xlws.FILTER(P:P, (P:P &lt;&gt; "") * (P:P &lt;&gt; "")))</f>
        <v>0.65688378828241367</v>
      </c>
    </row>
    <row r="29" spans="1:33" x14ac:dyDescent="0.25">
      <c r="A29" s="26"/>
      <c r="B29" vm="160">
        <f ca="1"/>
        <v>170.33</v>
      </c>
      <c r="C29" vm="161">
        <f ca="1"/>
        <v>61.77</v>
      </c>
      <c r="D29" vm="162">
        <f ca="1"/>
        <v>191.74</v>
      </c>
      <c r="E29" vm="163">
        <f ca="1"/>
        <v>129.22</v>
      </c>
      <c r="F29" vm="164">
        <f ca="1"/>
        <v>47.48</v>
      </c>
      <c r="G29" vm="165">
        <f ca="1"/>
        <v>195.9</v>
      </c>
      <c r="K29" s="26"/>
      <c r="L29" s="25">
        <f t="shared" ca="1" si="2"/>
        <v>0.12869136382316682</v>
      </c>
      <c r="M29" s="25">
        <f t="shared" ca="1" si="3"/>
        <v>1.8779342723004744E-2</v>
      </c>
      <c r="N29" s="25">
        <f t="shared" ca="1" si="4"/>
        <v>5.6795660790653901E-2</v>
      </c>
      <c r="O29" s="25">
        <f t="shared" ca="1" si="5"/>
        <v>-2.847856368983126E-2</v>
      </c>
      <c r="P29" s="25">
        <f t="shared" ca="1" si="6"/>
        <v>-3.3487784330244241E-2</v>
      </c>
      <c r="Q29" s="25">
        <f t="shared" ca="1" si="7"/>
        <v>5.0382848392036772E-2</v>
      </c>
      <c r="V29" s="18" t="s">
        <v>82</v>
      </c>
      <c r="W29" s="18" cm="1">
        <f t="array" aca="1" ref="W29" ca="1">CORREL(_xlfn._xlws.FILTER($O:$O, ($O:$O &lt;&gt; "") * ($O:$O &lt;&gt; "")), _xlfn._xlws.FILTER(L:L, (L:L &lt;&gt; "") * (L:L &lt;&gt; "")))</f>
        <v>1.8845184899859098E-2</v>
      </c>
      <c r="X29" s="18" cm="1">
        <f t="array" aca="1" ref="X29" ca="1">CORREL(_xlfn._xlws.FILTER($O:$O, ($O:$O &lt;&gt; "") * ($O:$O &lt;&gt; "")), _xlfn._xlws.FILTER(M:M, (M:M &lt;&gt; "") * (M:M &lt;&gt; "")))</f>
        <v>0.42783474870672294</v>
      </c>
      <c r="Y29" s="18" cm="1">
        <f t="array" aca="1" ref="Y29" ca="1">CORREL(_xlfn._xlws.FILTER($O:$O, ($O:$O &lt;&gt; "") * ($O:$O &lt;&gt; "")), _xlfn._xlws.FILTER(N:N, (N:N &lt;&gt; "") * (N:N &lt;&gt; "")))</f>
        <v>0.24097650339287666</v>
      </c>
      <c r="Z29" s="18" cm="1">
        <f t="array" aca="1" ref="Z29" ca="1">CORREL(_xlfn._xlws.FILTER($O:$O, ($O:$O &lt;&gt; "") * ($O:$O &lt;&gt; "")), _xlfn._xlws.FILTER(O:O, (O:O &lt;&gt; "") * (O:O &lt;&gt; "")))</f>
        <v>1.0000000000000002</v>
      </c>
      <c r="AA29" s="18" cm="1">
        <f t="array" aca="1" ref="AA29" ca="1">CORREL(_xlfn._xlws.FILTER($O:$O, ($O:$O &lt;&gt; "") * ($O:$O &lt;&gt; "")), _xlfn._xlws.FILTER(P:P, (P:P &lt;&gt; "") * (P:P &lt;&gt; "")))</f>
        <v>0.33179846660655704</v>
      </c>
    </row>
    <row r="30" spans="1:33" x14ac:dyDescent="0.25">
      <c r="A30" s="26"/>
      <c r="B30" vm="166">
        <f ca="1"/>
        <v>192.25</v>
      </c>
      <c r="C30" vm="167">
        <f ca="1"/>
        <v>62.93</v>
      </c>
      <c r="D30" vm="168">
        <f ca="1"/>
        <v>202.63</v>
      </c>
      <c r="E30" vm="169">
        <f ca="1"/>
        <v>125.54</v>
      </c>
      <c r="F30" vm="170">
        <f ca="1"/>
        <v>45.89</v>
      </c>
      <c r="G30" vm="171">
        <f ca="1"/>
        <v>205.77</v>
      </c>
      <c r="K30" s="26"/>
      <c r="L30" s="25">
        <f t="shared" ca="1" si="2"/>
        <v>9.5552665799739867E-2</v>
      </c>
      <c r="M30" s="25">
        <f t="shared" ca="1" si="3"/>
        <v>1.1441283966311833E-2</v>
      </c>
      <c r="N30" s="25">
        <f t="shared" ca="1" si="4"/>
        <v>-1.825988254453903E-3</v>
      </c>
      <c r="O30" s="25">
        <f t="shared" ca="1" si="5"/>
        <v>-1.3860124263183171E-2</v>
      </c>
      <c r="P30" s="25">
        <f t="shared" ca="1" si="6"/>
        <v>2.8110699498801406E-2</v>
      </c>
      <c r="Q30" s="25">
        <f t="shared" ca="1" si="7"/>
        <v>-1.399620935996515E-2</v>
      </c>
      <c r="V30" s="18" t="s">
        <v>81</v>
      </c>
      <c r="W30" s="18" cm="1">
        <f t="array" aca="1" ref="W30" ca="1">CORREL(_xlfn._xlws.FILTER($P:$P, ($P:$P &lt;&gt; "") * ($P:$P &lt;&gt; "")), _xlfn._xlws.FILTER(L:L, (L:L &lt;&gt; "") * (L:L &lt;&gt; "")))</f>
        <v>0.1964318337690022</v>
      </c>
      <c r="X30" s="18" cm="1">
        <f t="array" aca="1" ref="X30" ca="1">CORREL(_xlfn._xlws.FILTER($P:$P, ($P:$P &lt;&gt; "") * ($P:$P &lt;&gt; "")), _xlfn._xlws.FILTER(M:M, (M:M &lt;&gt; "") * (M:M &lt;&gt; "")))</f>
        <v>0.24765560746696774</v>
      </c>
      <c r="Y30" s="18" cm="1">
        <f t="array" aca="1" ref="Y30" ca="1">CORREL(_xlfn._xlws.FILTER($P:$P, ($P:$P &lt;&gt; "") * ($P:$P &lt;&gt; "")), _xlfn._xlws.FILTER(N:N, (N:N &lt;&gt; "") * (N:N &lt;&gt; "")))</f>
        <v>0.65688378828241367</v>
      </c>
      <c r="Z30" s="18" cm="1">
        <f t="array" aca="1" ref="Z30" ca="1">CORREL(_xlfn._xlws.FILTER($P:$P, ($P:$P &lt;&gt; "") * ($P:$P &lt;&gt; "")), _xlfn._xlws.FILTER(O:O, (O:O &lt;&gt; "") * (O:O &lt;&gt; "")))</f>
        <v>0.33179846660655704</v>
      </c>
      <c r="AA30" s="18" cm="1">
        <f t="array" aca="1" ref="AA30" ca="1">CORREL(_xlfn._xlws.FILTER($P:$P, ($P:$P &lt;&gt; "") * ($P:$P &lt;&gt; "")), _xlfn._xlws.FILTER(P:P, (P:P &lt;&gt; "") * (P:P &lt;&gt; "")))</f>
        <v>1</v>
      </c>
    </row>
    <row r="31" spans="1:33" x14ac:dyDescent="0.25">
      <c r="A31" s="26"/>
      <c r="B31" vm="172">
        <f ca="1"/>
        <v>210.62</v>
      </c>
      <c r="C31" vm="173">
        <f ca="1"/>
        <v>63.65</v>
      </c>
      <c r="D31" vm="174">
        <f ca="1"/>
        <v>202.26</v>
      </c>
      <c r="E31" vm="175">
        <f ca="1"/>
        <v>123.8</v>
      </c>
      <c r="F31" vm="176">
        <f ca="1"/>
        <v>47.18</v>
      </c>
      <c r="G31" vm="177">
        <f ca="1"/>
        <v>202.89</v>
      </c>
      <c r="K31" s="26"/>
      <c r="L31" s="25">
        <f t="shared" ca="1" si="2"/>
        <v>5.4410787199696165E-2</v>
      </c>
      <c r="M31" s="25">
        <f t="shared" ca="1" si="3"/>
        <v>4.8546739984288934E-2</v>
      </c>
      <c r="N31" s="25">
        <f t="shared" ca="1" si="4"/>
        <v>5.2111144071986581E-2</v>
      </c>
      <c r="O31" s="25">
        <f t="shared" ca="1" si="5"/>
        <v>-8.6187399030694722E-2</v>
      </c>
      <c r="P31" s="25">
        <f t="shared" ca="1" si="6"/>
        <v>2.3526918185671875E-2</v>
      </c>
      <c r="Q31" s="25">
        <f t="shared" ca="1" si="7"/>
        <v>0.10335649859529816</v>
      </c>
    </row>
    <row r="32" spans="1:33" x14ac:dyDescent="0.25">
      <c r="A32" s="26"/>
      <c r="B32" vm="178">
        <f ca="1"/>
        <v>222.08</v>
      </c>
      <c r="C32" vm="179">
        <f ca="1"/>
        <v>66.739999999999995</v>
      </c>
      <c r="D32" vm="180">
        <f ca="1"/>
        <v>212.8</v>
      </c>
      <c r="E32" vm="181">
        <f ca="1"/>
        <v>113.13</v>
      </c>
      <c r="F32" vm="182">
        <f ca="1"/>
        <v>48.29</v>
      </c>
      <c r="G32" vm="183">
        <f ca="1"/>
        <v>223.86</v>
      </c>
      <c r="K32" s="26"/>
      <c r="L32" s="25">
        <f t="shared" ca="1" si="2"/>
        <v>3.115994236311237E-2</v>
      </c>
      <c r="M32" s="25">
        <f t="shared" ca="1" si="3"/>
        <v>8.5855558885226335E-2</v>
      </c>
      <c r="N32" s="25">
        <f t="shared" ca="1" si="4"/>
        <v>5.6390977443609103E-2</v>
      </c>
      <c r="O32" s="25">
        <f t="shared" ca="1" si="5"/>
        <v>4.7025545832228399E-2</v>
      </c>
      <c r="P32" s="25">
        <f t="shared" ca="1" si="6"/>
        <v>-8.9045351004348627E-2</v>
      </c>
      <c r="Q32" s="25">
        <f t="shared" ca="1" si="7"/>
        <v>-1.6885553470919357E-2</v>
      </c>
    </row>
    <row r="33" spans="1:27" x14ac:dyDescent="0.25">
      <c r="A33" s="26"/>
      <c r="B33" vm="184">
        <f ca="1"/>
        <v>229</v>
      </c>
      <c r="C33" vm="185">
        <f ca="1"/>
        <v>72.47</v>
      </c>
      <c r="D33" vm="186">
        <f ca="1"/>
        <v>224.8</v>
      </c>
      <c r="E33" vm="187">
        <f ca="1"/>
        <v>118.45</v>
      </c>
      <c r="F33" vm="188">
        <f ca="1"/>
        <v>43.99</v>
      </c>
      <c r="G33" vm="189">
        <f ca="1"/>
        <v>220.08</v>
      </c>
      <c r="K33" s="26"/>
      <c r="L33" s="25">
        <f t="shared" ca="1" si="2"/>
        <v>1.7467248908296984E-2</v>
      </c>
      <c r="M33" s="25">
        <f t="shared" ca="1" si="3"/>
        <v>-8.4172761142541352E-3</v>
      </c>
      <c r="N33" s="25">
        <f t="shared" ca="1" si="4"/>
        <v>-6.2010676156583622E-2</v>
      </c>
      <c r="O33" s="25">
        <f t="shared" ca="1" si="5"/>
        <v>-4.1283241874208509E-2</v>
      </c>
      <c r="P33" s="25">
        <f t="shared" ca="1" si="6"/>
        <v>-4.6374175949079333E-2</v>
      </c>
      <c r="Q33" s="25">
        <f t="shared" ca="1" si="7"/>
        <v>3.6804798255178905E-3</v>
      </c>
      <c r="V33" s="28" t="s">
        <v>86</v>
      </c>
      <c r="W33" s="28"/>
    </row>
    <row r="34" spans="1:27" x14ac:dyDescent="0.25">
      <c r="A34" s="26"/>
      <c r="B34" vm="190">
        <f ca="1"/>
        <v>233</v>
      </c>
      <c r="C34" vm="191">
        <f ca="1"/>
        <v>71.86</v>
      </c>
      <c r="D34" vm="192">
        <f ca="1"/>
        <v>210.86</v>
      </c>
      <c r="E34" vm="193">
        <f ca="1"/>
        <v>113.56</v>
      </c>
      <c r="F34" vm="194">
        <f ca="1"/>
        <v>41.95</v>
      </c>
      <c r="G34" vm="195">
        <f ca="1"/>
        <v>220.89</v>
      </c>
      <c r="K34" s="26"/>
      <c r="L34" s="25">
        <f t="shared" ca="1" si="2"/>
        <v>-3.0429184549356281E-2</v>
      </c>
      <c r="M34" s="25">
        <f t="shared" ca="1" si="3"/>
        <v>-9.114945727804058E-2</v>
      </c>
      <c r="N34" s="25">
        <f t="shared" ca="1" si="4"/>
        <v>5.2451863795883291E-2</v>
      </c>
      <c r="O34" s="25">
        <f t="shared" ca="1" si="5"/>
        <v>-9.8978513561113091E-2</v>
      </c>
      <c r="P34" s="25">
        <f t="shared" ca="1" si="6"/>
        <v>-4.4815256257449421E-2</v>
      </c>
      <c r="Q34" s="25">
        <f t="shared" ca="1" si="7"/>
        <v>-1.4169948843315683E-2</v>
      </c>
      <c r="V34" s="27"/>
      <c r="W34" s="27" t="s">
        <v>85</v>
      </c>
      <c r="X34" s="27" t="s">
        <v>84</v>
      </c>
      <c r="Y34" s="27" t="s">
        <v>83</v>
      </c>
      <c r="Z34" s="27" t="s">
        <v>82</v>
      </c>
      <c r="AA34" s="27" t="s">
        <v>81</v>
      </c>
    </row>
    <row r="35" spans="1:27" x14ac:dyDescent="0.25">
      <c r="A35" s="26"/>
      <c r="B35" vm="196">
        <f ca="1"/>
        <v>225.91</v>
      </c>
      <c r="C35" vm="197">
        <f ca="1"/>
        <v>65.31</v>
      </c>
      <c r="D35" vm="198">
        <f ca="1"/>
        <v>221.92</v>
      </c>
      <c r="E35" vm="199">
        <f ca="1"/>
        <v>102.32</v>
      </c>
      <c r="F35" vm="200">
        <f ca="1"/>
        <v>40.07</v>
      </c>
      <c r="G35" vm="201">
        <f ca="1"/>
        <v>217.76</v>
      </c>
      <c r="K35" s="26"/>
      <c r="L35" s="25">
        <f t="shared" ca="1" si="2"/>
        <v>5.0551104422114967E-2</v>
      </c>
      <c r="M35" s="25">
        <f t="shared" ca="1" si="3"/>
        <v>-1.8833256775379059E-2</v>
      </c>
      <c r="N35" s="25">
        <f t="shared" ca="1" si="4"/>
        <v>0.12527036770007216</v>
      </c>
      <c r="O35" s="25">
        <f t="shared" ca="1" si="5"/>
        <v>-6.6458170445660159E-3</v>
      </c>
      <c r="P35" s="25">
        <f t="shared" ca="1" si="6"/>
        <v>9.6580983279261234E-2</v>
      </c>
      <c r="Q35" s="25">
        <f t="shared" ca="1" si="7"/>
        <v>0.11071822189566505</v>
      </c>
      <c r="V35" s="18" t="s">
        <v>85</v>
      </c>
      <c r="W35" s="18" cm="1">
        <f t="array" aca="1" ref="W35" ca="1">_xlfn.COVARIANCE.P(_xlfn._xlws.FILTER($L:$L, ($L:$L &lt;&gt; "") * ($L:$L &lt;&gt; "")), _xlfn._xlws.FILTER(L:L, (L:L &lt;&gt; "") * (L:L &lt;&gt; "")))</f>
        <v>5.6332408440516266E-3</v>
      </c>
      <c r="X35" s="18" cm="1">
        <f t="array" aca="1" ref="X35" ca="1">_xlfn.COVARIANCE.P(_xlfn._xlws.FILTER($L:$L, ($L:$L &lt;&gt; "") * ($L:$L &lt;&gt; "")), _xlfn._xlws.FILTER(M:M, (M:M &lt;&gt; "") * (M:M &lt;&gt; "")))</f>
        <v>9.0910812853093692E-4</v>
      </c>
      <c r="Y35" s="18" cm="1">
        <f t="array" aca="1" ref="Y35" ca="1">_xlfn.COVARIANCE.P(_xlfn._xlws.FILTER($L:$L, ($L:$L &lt;&gt; "") * ($L:$L &lt;&gt; "")), _xlfn._xlws.FILTER(N:N, (N:N &lt;&gt; "") * (N:N &lt;&gt; "")))</f>
        <v>1.907121274375519E-3</v>
      </c>
      <c r="Z35" s="18" cm="1">
        <f t="array" aca="1" ref="Z35" ca="1">_xlfn.COVARIANCE.P(_xlfn._xlws.FILTER($L:$L, ($L:$L &lt;&gt; "") * ($L:$L &lt;&gt; "")), _xlfn._xlws.FILTER(O:O, (O:O &lt;&gt; "") * (O:O &lt;&gt; "")))</f>
        <v>8.56137154874366E-5</v>
      </c>
      <c r="AA35" s="18" cm="1">
        <f t="array" aca="1" ref="AA35" ca="1">_xlfn.COVARIANCE.P(_xlfn._xlws.FILTER($L:$L, ($L:$L &lt;&gt; "") * ($L:$L &lt;&gt; "")), _xlfn._xlws.FILTER(P:P, (P:P &lt;&gt; "") * (P:P &lt;&gt; "")))</f>
        <v>1.6660367643026855E-3</v>
      </c>
    </row>
    <row r="36" spans="1:27" x14ac:dyDescent="0.25">
      <c r="A36" s="26"/>
      <c r="B36" vm="202">
        <f ca="1"/>
        <v>237.33</v>
      </c>
      <c r="C36" vm="203">
        <f ca="1"/>
        <v>64.08</v>
      </c>
      <c r="D36" vm="204">
        <f ca="1"/>
        <v>249.72</v>
      </c>
      <c r="E36" vm="205">
        <f ca="1"/>
        <v>101.64</v>
      </c>
      <c r="F36" vm="206">
        <f ca="1"/>
        <v>43.94</v>
      </c>
      <c r="G36" vm="207">
        <f ca="1"/>
        <v>241.87</v>
      </c>
      <c r="K36" s="26"/>
      <c r="L36" s="25">
        <f t="shared" ca="1" si="2"/>
        <v>5.5155269034677268E-2</v>
      </c>
      <c r="M36" s="25">
        <f t="shared" ca="1" si="3"/>
        <v>-2.8401997503121112E-2</v>
      </c>
      <c r="N36" s="25">
        <f t="shared" ca="1" si="4"/>
        <v>-4.0084895082492356E-2</v>
      </c>
      <c r="O36" s="25">
        <f t="shared" ca="1" si="5"/>
        <v>-2.1251475796930319E-2</v>
      </c>
      <c r="P36" s="25">
        <f t="shared" ca="1" si="6"/>
        <v>-0.12744651797906226</v>
      </c>
      <c r="Q36" s="25">
        <f t="shared" ca="1" si="7"/>
        <v>-8.6451399512134652E-2</v>
      </c>
      <c r="V36" s="18" t="s">
        <v>84</v>
      </c>
      <c r="W36" s="18" cm="1">
        <f t="array" aca="1" ref="W36" ca="1">_xlfn.COVARIANCE.P(_xlfn._xlws.FILTER($M:$M, ($M:$M &lt;&gt; "") * ($M:$M &lt;&gt; "")), _xlfn._xlws.FILTER(L:L, (L:L &lt;&gt; "") * (L:L &lt;&gt; "")))</f>
        <v>9.0910812853093692E-4</v>
      </c>
      <c r="X36" s="18" cm="1">
        <f t="array" aca="1" ref="X36" ca="1">_xlfn.COVARIANCE.P(_xlfn._xlws.FILTER($M:$M, ($M:$M &lt;&gt; "") * ($M:$M &lt;&gt; "")), _xlfn._xlws.FILTER(M:M, (M:M &lt;&gt; "") * (M:M &lt;&gt; "")))</f>
        <v>1.6165297951714959E-3</v>
      </c>
      <c r="Y36" s="18" cm="1">
        <f t="array" aca="1" ref="Y36" ca="1">_xlfn.COVARIANCE.P(_xlfn._xlws.FILTER($M:$M, ($M:$M &lt;&gt; "") * ($M:$M &lt;&gt; "")), _xlfn._xlws.FILTER(N:N, (N:N &lt;&gt; "") * (N:N &lt;&gt; "")))</f>
        <v>9.5875638840034862E-4</v>
      </c>
      <c r="Z36" s="18" cm="1">
        <f t="array" aca="1" ref="Z36" ca="1">_xlfn.COVARIANCE.P(_xlfn._xlws.FILTER($M:$M, ($M:$M &lt;&gt; "") * ($M:$M &lt;&gt; "")), _xlfn._xlws.FILTER(O:O, (O:O &lt;&gt; "") * (O:O &lt;&gt; "")))</f>
        <v>1.0411940901038459E-3</v>
      </c>
      <c r="AA36" s="18" cm="1">
        <f t="array" aca="1" ref="AA36" ca="1">_xlfn.COVARIANCE.P(_xlfn._xlws.FILTER($M:$M, ($M:$M &lt;&gt; "") * ($M:$M &lt;&gt; "")), _xlfn._xlws.FILTER(P:P, (P:P &lt;&gt; "") * (P:P &lt;&gt; "")))</f>
        <v>1.12520997278241E-3</v>
      </c>
    </row>
    <row r="37" spans="1:27" x14ac:dyDescent="0.25">
      <c r="A37" s="26"/>
      <c r="B37" vm="208">
        <f ca="1"/>
        <v>250.42</v>
      </c>
      <c r="C37" vm="209">
        <f ca="1"/>
        <v>62.26</v>
      </c>
      <c r="D37" vm="210">
        <f ca="1"/>
        <v>239.71</v>
      </c>
      <c r="E37" vm="211">
        <f ca="1"/>
        <v>99.48</v>
      </c>
      <c r="F37" vm="212">
        <f ca="1"/>
        <v>38.340000000000003</v>
      </c>
      <c r="G37" vm="213">
        <f ca="1"/>
        <v>220.96</v>
      </c>
      <c r="K37" s="26"/>
      <c r="L37" s="25">
        <f t="shared" ca="1" si="2"/>
        <v>-5.7583260122993307E-2</v>
      </c>
      <c r="M37" s="25">
        <f t="shared" ca="1" si="3"/>
        <v>1.9595245743655676E-2</v>
      </c>
      <c r="N37" s="25">
        <f t="shared" ca="1" si="4"/>
        <v>0.11509740936965507</v>
      </c>
      <c r="O37" s="25">
        <f t="shared" ca="1" si="5"/>
        <v>-6.63449939686378E-3</v>
      </c>
      <c r="P37" s="25">
        <f t="shared" ca="1" si="6"/>
        <v>5.0599895670318196E-2</v>
      </c>
      <c r="Q37" s="25">
        <f t="shared" ca="1" si="7"/>
        <v>2.4981897175959444E-2</v>
      </c>
      <c r="V37" s="18" t="s">
        <v>83</v>
      </c>
      <c r="W37" s="18" cm="1">
        <f t="array" aca="1" ref="W37" ca="1">_xlfn.COVARIANCE.P(_xlfn._xlws.FILTER($N:$N, ($N:$N &lt;&gt; "") * ($N:$N &lt;&gt; "")), _xlfn._xlws.FILTER(L:L, (L:L &lt;&gt; "") * (L:L &lt;&gt; "")))</f>
        <v>1.907121274375519E-3</v>
      </c>
      <c r="X37" s="18" cm="1">
        <f t="array" aca="1" ref="X37" ca="1">_xlfn.COVARIANCE.P(_xlfn._xlws.FILTER($N:$N, ($N:$N &lt;&gt; "") * ($N:$N &lt;&gt; "")), _xlfn._xlws.FILTER(M:M, (M:M &lt;&gt; "") * (M:M &lt;&gt; "")))</f>
        <v>9.5875638840034862E-4</v>
      </c>
      <c r="Y37" s="18" cm="1">
        <f t="array" aca="1" ref="Y37" ca="1">_xlfn.COVARIANCE.P(_xlfn._xlws.FILTER($N:$N, ($N:$N &lt;&gt; "") * ($N:$N &lt;&gt; "")), _xlfn._xlws.FILTER(N:N, (N:N &lt;&gt; "") * (N:N &lt;&gt; "")))</f>
        <v>5.8282646347066844E-3</v>
      </c>
      <c r="Z37" s="18" cm="1">
        <f t="array" aca="1" ref="Z37" ca="1">_xlfn.COVARIANCE.P(_xlfn._xlws.FILTER($N:$N, ($N:$N &lt;&gt; "") * ($N:$N &lt;&gt; "")), _xlfn._xlws.FILTER(O:O, (O:O &lt;&gt; "") * (O:O &lt;&gt; "")))</f>
        <v>1.1135458719764145E-3</v>
      </c>
      <c r="AA37" s="18" cm="1">
        <f t="array" aca="1" ref="AA37" ca="1">_xlfn.COVARIANCE.P(_xlfn._xlws.FILTER($N:$N, ($N:$N &lt;&gt; "") * ($N:$N &lt;&gt; "")), _xlfn._xlws.FILTER(P:P, (P:P &lt;&gt; "") * (P:P &lt;&gt; "")))</f>
        <v>5.6669805901782867E-3</v>
      </c>
    </row>
    <row r="38" spans="1:27" x14ac:dyDescent="0.25">
      <c r="A38" s="26"/>
      <c r="B38" vm="214">
        <f ca="1"/>
        <v>236</v>
      </c>
      <c r="C38" vm="215">
        <f ca="1"/>
        <v>63.48</v>
      </c>
      <c r="D38" vm="216">
        <f ca="1"/>
        <v>267.3</v>
      </c>
      <c r="E38" vm="217">
        <f ca="1"/>
        <v>98.82</v>
      </c>
      <c r="F38" vm="218">
        <f ca="1"/>
        <v>40.28</v>
      </c>
      <c r="G38" vm="219">
        <f ca="1"/>
        <v>226.48</v>
      </c>
      <c r="K38" s="26"/>
      <c r="L38" s="25">
        <f t="shared" ca="1" si="2"/>
        <v>-3.5466101694915264E-2</v>
      </c>
      <c r="M38" s="25">
        <f t="shared" ca="1" si="3"/>
        <v>5.6710775047259521E-3</v>
      </c>
      <c r="N38" s="25">
        <f t="shared" ca="1" si="4"/>
        <v>3.1799476243920655E-2</v>
      </c>
      <c r="O38" s="25">
        <f t="shared" ca="1" si="5"/>
        <v>-0.1167779801659582</v>
      </c>
      <c r="P38" s="25">
        <f t="shared" ca="1" si="6"/>
        <v>-2.9791459781530749E-3</v>
      </c>
      <c r="Q38" s="25">
        <f t="shared" ca="1" si="7"/>
        <v>-2.1193924408335896E-3</v>
      </c>
      <c r="V38" s="18" t="s">
        <v>82</v>
      </c>
      <c r="W38" s="18" cm="1">
        <f t="array" aca="1" ref="W38" ca="1">_xlfn.COVARIANCE.P(_xlfn._xlws.FILTER($O:$O, ($O:$O &lt;&gt; "") * ($O:$O &lt;&gt; "")), _xlfn._xlws.FILTER(L:L, (L:L &lt;&gt; "") * (L:L &lt;&gt; "")))</f>
        <v>8.56137154874366E-5</v>
      </c>
      <c r="X38" s="18" cm="1">
        <f t="array" aca="1" ref="X38" ca="1">_xlfn.COVARIANCE.P(_xlfn._xlws.FILTER($O:$O, ($O:$O &lt;&gt; "") * ($O:$O &lt;&gt; "")), _xlfn._xlws.FILTER(M:M, (M:M &lt;&gt; "") * (M:M &lt;&gt; "")))</f>
        <v>1.0411940901038459E-3</v>
      </c>
      <c r="Y38" s="18" cm="1">
        <f t="array" aca="1" ref="Y38" ca="1">_xlfn.COVARIANCE.P(_xlfn._xlws.FILTER($O:$O, ($O:$O &lt;&gt; "") * ($O:$O &lt;&gt; "")), _xlfn._xlws.FILTER(N:N, (N:N &lt;&gt; "") * (N:N &lt;&gt; "")))</f>
        <v>1.1135458719764145E-3</v>
      </c>
      <c r="Z38" s="18" cm="1">
        <f t="array" aca="1" ref="Z38" ca="1">_xlfn.COVARIANCE.P(_xlfn._xlws.FILTER($O:$O, ($O:$O &lt;&gt; "") * ($O:$O &lt;&gt; "")), _xlfn._xlws.FILTER(O:O, (O:O &lt;&gt; "") * (O:O &lt;&gt; "")))</f>
        <v>3.6637646235815374E-3</v>
      </c>
      <c r="AA38" s="18" cm="1">
        <f t="array" aca="1" ref="AA38" ca="1">_xlfn.COVARIANCE.P(_xlfn._xlws.FILTER($O:$O, ($O:$O &lt;&gt; "") * ($O:$O &lt;&gt; "")), _xlfn._xlws.FILTER(P:P, (P:P &lt;&gt; "") * (P:P &lt;&gt; "")))</f>
        <v>2.2695079430156322E-3</v>
      </c>
    </row>
    <row r="39" spans="1:27" x14ac:dyDescent="0.25">
      <c r="A39" s="26"/>
      <c r="B39" vm="220">
        <f ca="1"/>
        <v>227.63</v>
      </c>
      <c r="C39" vm="221">
        <f ca="1"/>
        <v>63.84</v>
      </c>
      <c r="D39" vm="222">
        <f ca="1"/>
        <v>275.8</v>
      </c>
      <c r="E39" vm="223">
        <f ca="1"/>
        <v>87.28</v>
      </c>
      <c r="F39" vm="224">
        <f ca="1"/>
        <v>40.159999999999997</v>
      </c>
      <c r="G39" vm="225">
        <f ca="1"/>
        <v>226</v>
      </c>
      <c r="K39" s="26"/>
      <c r="L39" s="25" t="str">
        <f t="shared" ca="1" si="2"/>
        <v/>
      </c>
      <c r="M39" s="25" t="str">
        <f t="shared" ca="1" si="3"/>
        <v/>
      </c>
      <c r="N39" s="25" t="str">
        <f t="shared" ca="1" si="4"/>
        <v/>
      </c>
      <c r="O39" s="25" t="str">
        <f t="shared" ca="1" si="5"/>
        <v/>
      </c>
      <c r="P39" s="25" t="str">
        <f t="shared" ca="1" si="6"/>
        <v/>
      </c>
      <c r="Q39" s="25" t="str">
        <f t="shared" ca="1" si="7"/>
        <v/>
      </c>
      <c r="V39" s="18" t="s">
        <v>81</v>
      </c>
      <c r="W39" s="18" cm="1">
        <f t="array" aca="1" ref="W39" ca="1">_xlfn.COVARIANCE.P(_xlfn._xlws.FILTER($P:$P, ($P:$P &lt;&gt; "") * ($P:$P &lt;&gt; "")), _xlfn._xlws.FILTER(L:L, (L:L &lt;&gt; "") * (L:L &lt;&gt; "")))</f>
        <v>1.6660367643026855E-3</v>
      </c>
      <c r="X39" s="18" cm="1">
        <f t="array" aca="1" ref="X39" ca="1">_xlfn.COVARIANCE.P(_xlfn._xlws.FILTER($P:$P, ($P:$P &lt;&gt; "") * ($P:$P &lt;&gt; "")), _xlfn._xlws.FILTER(M:M, (M:M &lt;&gt; "") * (M:M &lt;&gt; "")))</f>
        <v>1.12520997278241E-3</v>
      </c>
      <c r="Y39" s="18" cm="1">
        <f t="array" aca="1" ref="Y39" ca="1">_xlfn.COVARIANCE.P(_xlfn._xlws.FILTER($P:$P, ($P:$P &lt;&gt; "") * ($P:$P &lt;&gt; "")), _xlfn._xlws.FILTER(N:N, (N:N &lt;&gt; "") * (N:N &lt;&gt; "")))</f>
        <v>5.6669805901782867E-3</v>
      </c>
      <c r="Z39" s="18" cm="1">
        <f t="array" aca="1" ref="Z39" ca="1">_xlfn.COVARIANCE.P(_xlfn._xlws.FILTER($P:$P, ($P:$P &lt;&gt; "") * ($P:$P &lt;&gt; "")), _xlfn._xlws.FILTER(O:O, (O:O &lt;&gt; "") * (O:O &lt;&gt; "")))</f>
        <v>2.2695079430156322E-3</v>
      </c>
      <c r="AA39" s="18" cm="1">
        <f t="array" aca="1" ref="AA39" ca="1">_xlfn.COVARIANCE.P(_xlfn._xlws.FILTER($P:$P, ($P:$P &lt;&gt; "") * ($P:$P &lt;&gt; "")), _xlfn._xlws.FILTER(P:P, (P:P &lt;&gt; "") * (P:P &lt;&gt; "")))</f>
        <v>1.2769888345442305E-2</v>
      </c>
    </row>
    <row r="40" spans="1:27" x14ac:dyDescent="0.25">
      <c r="A40" s="26"/>
      <c r="K40" s="26"/>
      <c r="L40" s="25" t="str">
        <f t="shared" si="2"/>
        <v/>
      </c>
      <c r="M40" s="25" t="str">
        <f t="shared" si="3"/>
        <v/>
      </c>
      <c r="N40" s="25" t="str">
        <f t="shared" si="4"/>
        <v/>
      </c>
      <c r="O40" s="25" t="str">
        <f t="shared" si="5"/>
        <v/>
      </c>
      <c r="P40" s="25" t="str">
        <f t="shared" si="6"/>
        <v/>
      </c>
      <c r="Q40" s="25" t="str">
        <f t="shared" si="7"/>
        <v/>
      </c>
    </row>
    <row r="41" spans="1:27" x14ac:dyDescent="0.25">
      <c r="A41" s="26"/>
      <c r="K41" s="26"/>
      <c r="L41" s="25" t="str">
        <f t="shared" si="2"/>
        <v/>
      </c>
      <c r="M41" s="25" t="str">
        <f t="shared" si="3"/>
        <v/>
      </c>
      <c r="N41" s="25" t="str">
        <f t="shared" si="4"/>
        <v/>
      </c>
      <c r="O41" s="25" t="str">
        <f t="shared" si="5"/>
        <v/>
      </c>
      <c r="P41" s="25" t="str">
        <f t="shared" si="6"/>
        <v/>
      </c>
      <c r="Q41" s="25" t="str">
        <f t="shared" si="7"/>
        <v/>
      </c>
    </row>
    <row r="42" spans="1:27" x14ac:dyDescent="0.25">
      <c r="A42" s="26"/>
      <c r="K42" s="26"/>
      <c r="L42" s="25" t="str">
        <f t="shared" si="2"/>
        <v/>
      </c>
      <c r="M42" s="25" t="str">
        <f t="shared" si="3"/>
        <v/>
      </c>
      <c r="N42" s="25" t="str">
        <f t="shared" si="4"/>
        <v/>
      </c>
      <c r="O42" s="25" t="str">
        <f t="shared" si="5"/>
        <v/>
      </c>
      <c r="P42" s="25" t="str">
        <f t="shared" si="6"/>
        <v/>
      </c>
      <c r="Q42" s="25" t="str">
        <f t="shared" si="7"/>
        <v/>
      </c>
    </row>
    <row r="43" spans="1:27" x14ac:dyDescent="0.25">
      <c r="A43" s="26"/>
      <c r="K43" s="26"/>
      <c r="L43" s="25" t="str">
        <f t="shared" si="2"/>
        <v/>
      </c>
      <c r="M43" s="25" t="str">
        <f t="shared" si="3"/>
        <v/>
      </c>
      <c r="N43" s="25" t="str">
        <f t="shared" si="4"/>
        <v/>
      </c>
      <c r="O43" s="25" t="str">
        <f t="shared" si="5"/>
        <v/>
      </c>
      <c r="P43" s="25" t="str">
        <f t="shared" si="6"/>
        <v/>
      </c>
      <c r="Q43" s="25" t="str">
        <f t="shared" si="7"/>
        <v/>
      </c>
    </row>
    <row r="44" spans="1:27" x14ac:dyDescent="0.25">
      <c r="A44" s="26"/>
      <c r="K44" s="26"/>
      <c r="L44" s="25" t="str">
        <f t="shared" si="2"/>
        <v/>
      </c>
      <c r="M44" s="25" t="str">
        <f t="shared" si="3"/>
        <v/>
      </c>
      <c r="N44" s="25" t="str">
        <f t="shared" si="4"/>
        <v/>
      </c>
      <c r="O44" s="25" t="str">
        <f t="shared" si="5"/>
        <v/>
      </c>
      <c r="P44" s="25" t="str">
        <f t="shared" si="6"/>
        <v/>
      </c>
      <c r="Q44" s="25" t="str">
        <f t="shared" si="7"/>
        <v/>
      </c>
    </row>
    <row r="45" spans="1:27" x14ac:dyDescent="0.25">
      <c r="A45" s="26"/>
      <c r="K45" s="26"/>
      <c r="L45" s="25" t="str">
        <f t="shared" si="2"/>
        <v/>
      </c>
      <c r="M45" s="25" t="str">
        <f t="shared" si="3"/>
        <v/>
      </c>
      <c r="N45" s="25" t="str">
        <f t="shared" si="4"/>
        <v/>
      </c>
      <c r="O45" s="25" t="str">
        <f t="shared" si="5"/>
        <v/>
      </c>
      <c r="P45" s="25" t="str">
        <f t="shared" si="6"/>
        <v/>
      </c>
      <c r="Q45" s="25" t="str">
        <f t="shared" si="7"/>
        <v/>
      </c>
    </row>
    <row r="46" spans="1:27" x14ac:dyDescent="0.25">
      <c r="A46" s="26"/>
      <c r="K46" s="26"/>
      <c r="L46" s="25" t="str">
        <f t="shared" si="2"/>
        <v/>
      </c>
      <c r="M46" s="25" t="str">
        <f t="shared" si="3"/>
        <v/>
      </c>
      <c r="N46" s="25" t="str">
        <f t="shared" si="4"/>
        <v/>
      </c>
      <c r="O46" s="25" t="str">
        <f t="shared" si="5"/>
        <v/>
      </c>
      <c r="P46" s="25" t="str">
        <f t="shared" si="6"/>
        <v/>
      </c>
      <c r="Q46" s="25" t="str">
        <f t="shared" si="7"/>
        <v/>
      </c>
    </row>
    <row r="47" spans="1:27" x14ac:dyDescent="0.25">
      <c r="A47" s="26"/>
      <c r="K47" s="26"/>
      <c r="L47" s="25" t="str">
        <f t="shared" si="2"/>
        <v/>
      </c>
      <c r="M47" s="25" t="str">
        <f t="shared" si="3"/>
        <v/>
      </c>
      <c r="N47" s="25" t="str">
        <f t="shared" si="4"/>
        <v/>
      </c>
      <c r="O47" s="25" t="str">
        <f t="shared" si="5"/>
        <v/>
      </c>
      <c r="P47" s="25" t="str">
        <f t="shared" si="6"/>
        <v/>
      </c>
      <c r="Q47" s="25" t="str">
        <f t="shared" si="7"/>
        <v/>
      </c>
    </row>
    <row r="48" spans="1:27" x14ac:dyDescent="0.25">
      <c r="A48" s="26"/>
      <c r="K48" s="26"/>
      <c r="L48" s="25" t="str">
        <f t="shared" si="2"/>
        <v/>
      </c>
      <c r="M48" s="25" t="str">
        <f t="shared" si="3"/>
        <v/>
      </c>
      <c r="N48" s="25" t="str">
        <f t="shared" si="4"/>
        <v/>
      </c>
      <c r="O48" s="25" t="str">
        <f t="shared" si="5"/>
        <v/>
      </c>
      <c r="P48" s="25" t="str">
        <f t="shared" si="6"/>
        <v/>
      </c>
      <c r="Q48" s="25" t="str">
        <f t="shared" si="7"/>
        <v/>
      </c>
    </row>
    <row r="49" spans="1:17" x14ac:dyDescent="0.25">
      <c r="A49" s="26"/>
      <c r="K49" s="26"/>
      <c r="L49" s="25" t="str">
        <f t="shared" si="2"/>
        <v/>
      </c>
      <c r="M49" s="25" t="str">
        <f t="shared" si="3"/>
        <v/>
      </c>
      <c r="N49" s="25" t="str">
        <f t="shared" si="4"/>
        <v/>
      </c>
      <c r="O49" s="25" t="str">
        <f t="shared" si="5"/>
        <v/>
      </c>
      <c r="P49" s="25" t="str">
        <f t="shared" si="6"/>
        <v/>
      </c>
      <c r="Q49" s="25" t="str">
        <f t="shared" si="7"/>
        <v/>
      </c>
    </row>
    <row r="50" spans="1:17" x14ac:dyDescent="0.25">
      <c r="A50" s="26"/>
      <c r="K50" s="26"/>
      <c r="L50" s="25" t="str">
        <f t="shared" si="2"/>
        <v/>
      </c>
      <c r="M50" s="25" t="str">
        <f t="shared" si="3"/>
        <v/>
      </c>
      <c r="N50" s="25" t="str">
        <f t="shared" si="4"/>
        <v/>
      </c>
      <c r="O50" s="25" t="str">
        <f t="shared" si="5"/>
        <v/>
      </c>
      <c r="P50" s="25" t="str">
        <f t="shared" si="6"/>
        <v/>
      </c>
      <c r="Q50" s="25" t="str">
        <f t="shared" si="7"/>
        <v/>
      </c>
    </row>
    <row r="51" spans="1:17" x14ac:dyDescent="0.25">
      <c r="A51" s="26"/>
      <c r="K51" s="26"/>
      <c r="L51" s="25" t="str">
        <f t="shared" si="2"/>
        <v/>
      </c>
      <c r="M51" s="25" t="str">
        <f t="shared" si="3"/>
        <v/>
      </c>
      <c r="N51" s="25" t="str">
        <f t="shared" si="4"/>
        <v/>
      </c>
      <c r="O51" s="25" t="str">
        <f t="shared" si="5"/>
        <v/>
      </c>
      <c r="P51" s="25" t="str">
        <f t="shared" si="6"/>
        <v/>
      </c>
      <c r="Q51" s="25" t="str">
        <f t="shared" si="7"/>
        <v/>
      </c>
    </row>
    <row r="52" spans="1:17" x14ac:dyDescent="0.25">
      <c r="A52" s="26"/>
      <c r="K52" s="26"/>
      <c r="L52" s="25" t="str">
        <f t="shared" si="2"/>
        <v/>
      </c>
      <c r="M52" s="25" t="str">
        <f t="shared" si="3"/>
        <v/>
      </c>
      <c r="N52" s="25" t="str">
        <f t="shared" si="4"/>
        <v/>
      </c>
      <c r="O52" s="25" t="str">
        <f t="shared" si="5"/>
        <v/>
      </c>
      <c r="P52" s="25" t="str">
        <f t="shared" si="6"/>
        <v/>
      </c>
      <c r="Q52" s="25" t="str">
        <f t="shared" si="7"/>
        <v/>
      </c>
    </row>
    <row r="53" spans="1:17" x14ac:dyDescent="0.25">
      <c r="A53" s="26"/>
      <c r="K53" s="26"/>
      <c r="L53" s="25" t="str">
        <f t="shared" si="2"/>
        <v/>
      </c>
      <c r="M53" s="25" t="str">
        <f t="shared" si="3"/>
        <v/>
      </c>
      <c r="N53" s="25" t="str">
        <f t="shared" si="4"/>
        <v/>
      </c>
      <c r="O53" s="25" t="str">
        <f t="shared" si="5"/>
        <v/>
      </c>
      <c r="P53" s="25" t="str">
        <f t="shared" si="6"/>
        <v/>
      </c>
      <c r="Q53" s="25" t="str">
        <f t="shared" si="7"/>
        <v/>
      </c>
    </row>
    <row r="54" spans="1:17" x14ac:dyDescent="0.25">
      <c r="A54" s="26"/>
      <c r="K54" s="26"/>
      <c r="L54" s="25" t="str">
        <f t="shared" si="2"/>
        <v/>
      </c>
      <c r="M54" s="25" t="str">
        <f t="shared" si="3"/>
        <v/>
      </c>
      <c r="N54" s="25" t="str">
        <f t="shared" si="4"/>
        <v/>
      </c>
      <c r="O54" s="25" t="str">
        <f t="shared" si="5"/>
        <v/>
      </c>
      <c r="P54" s="25" t="str">
        <f t="shared" si="6"/>
        <v/>
      </c>
      <c r="Q54" s="25" t="str">
        <f t="shared" si="7"/>
        <v/>
      </c>
    </row>
    <row r="55" spans="1:17" x14ac:dyDescent="0.25">
      <c r="A55" s="26"/>
      <c r="K55" s="26"/>
      <c r="L55" s="25" t="str">
        <f t="shared" si="2"/>
        <v/>
      </c>
      <c r="M55" s="25" t="str">
        <f t="shared" si="3"/>
        <v/>
      </c>
      <c r="N55" s="25" t="str">
        <f t="shared" si="4"/>
        <v/>
      </c>
      <c r="O55" s="25" t="str">
        <f t="shared" si="5"/>
        <v/>
      </c>
      <c r="P55" s="25" t="str">
        <f t="shared" si="6"/>
        <v/>
      </c>
      <c r="Q55" s="25" t="str">
        <f t="shared" si="7"/>
        <v/>
      </c>
    </row>
    <row r="56" spans="1:17" x14ac:dyDescent="0.25">
      <c r="A56" s="26"/>
      <c r="K56" s="26"/>
      <c r="L56" s="25" t="str">
        <f t="shared" si="2"/>
        <v/>
      </c>
      <c r="M56" s="25" t="str">
        <f t="shared" si="3"/>
        <v/>
      </c>
      <c r="N56" s="25" t="str">
        <f t="shared" si="4"/>
        <v/>
      </c>
      <c r="O56" s="25" t="str">
        <f t="shared" si="5"/>
        <v/>
      </c>
      <c r="P56" s="25" t="str">
        <f t="shared" si="6"/>
        <v/>
      </c>
      <c r="Q56" s="25" t="str">
        <f t="shared" si="7"/>
        <v/>
      </c>
    </row>
    <row r="57" spans="1:17" x14ac:dyDescent="0.25">
      <c r="A57" s="26"/>
      <c r="K57" s="26"/>
      <c r="L57" s="25" t="str">
        <f t="shared" si="2"/>
        <v/>
      </c>
      <c r="M57" s="25" t="str">
        <f t="shared" si="3"/>
        <v/>
      </c>
      <c r="N57" s="25" t="str">
        <f t="shared" si="4"/>
        <v/>
      </c>
      <c r="O57" s="25" t="str">
        <f t="shared" si="5"/>
        <v/>
      </c>
      <c r="P57" s="25" t="str">
        <f t="shared" si="6"/>
        <v/>
      </c>
      <c r="Q57" s="25" t="str">
        <f t="shared" si="7"/>
        <v/>
      </c>
    </row>
    <row r="58" spans="1:17" x14ac:dyDescent="0.25">
      <c r="A58" s="26"/>
      <c r="K58" s="26"/>
      <c r="L58" s="25" t="str">
        <f t="shared" si="2"/>
        <v/>
      </c>
      <c r="M58" s="25" t="str">
        <f t="shared" si="3"/>
        <v/>
      </c>
      <c r="N58" s="25" t="str">
        <f t="shared" si="4"/>
        <v/>
      </c>
      <c r="O58" s="25" t="str">
        <f t="shared" si="5"/>
        <v/>
      </c>
      <c r="P58" s="25" t="str">
        <f t="shared" si="6"/>
        <v/>
      </c>
      <c r="Q58" s="25" t="str">
        <f t="shared" si="7"/>
        <v/>
      </c>
    </row>
    <row r="59" spans="1:17" x14ac:dyDescent="0.25">
      <c r="A59" s="26"/>
      <c r="K59" s="26"/>
      <c r="L59" s="25" t="str">
        <f t="shared" si="2"/>
        <v/>
      </c>
      <c r="M59" s="25" t="str">
        <f t="shared" si="3"/>
        <v/>
      </c>
      <c r="N59" s="25" t="str">
        <f t="shared" si="4"/>
        <v/>
      </c>
      <c r="O59" s="25" t="str">
        <f t="shared" si="5"/>
        <v/>
      </c>
      <c r="P59" s="25" t="str">
        <f t="shared" si="6"/>
        <v/>
      </c>
      <c r="Q59" s="25" t="str">
        <f t="shared" si="7"/>
        <v/>
      </c>
    </row>
    <row r="60" spans="1:17" x14ac:dyDescent="0.25">
      <c r="A60" s="26"/>
      <c r="K60" s="26"/>
      <c r="L60" s="25" t="str">
        <f t="shared" si="2"/>
        <v/>
      </c>
      <c r="M60" s="25" t="str">
        <f t="shared" si="3"/>
        <v/>
      </c>
      <c r="N60" s="25" t="str">
        <f t="shared" si="4"/>
        <v/>
      </c>
      <c r="O60" s="25" t="str">
        <f t="shared" si="5"/>
        <v/>
      </c>
      <c r="P60" s="25" t="str">
        <f t="shared" si="6"/>
        <v/>
      </c>
      <c r="Q60" s="25" t="str">
        <f t="shared" si="7"/>
        <v/>
      </c>
    </row>
    <row r="61" spans="1:17" x14ac:dyDescent="0.25">
      <c r="L61" s="25" t="str">
        <f t="shared" si="2"/>
        <v/>
      </c>
      <c r="M61" s="25" t="str">
        <f t="shared" si="3"/>
        <v/>
      </c>
      <c r="N61" s="25" t="str">
        <f t="shared" si="4"/>
        <v/>
      </c>
      <c r="O61" s="25" t="str">
        <f t="shared" si="5"/>
        <v/>
      </c>
      <c r="P61" s="25" t="str">
        <f t="shared" si="6"/>
        <v/>
      </c>
      <c r="Q61" s="25" t="str">
        <f t="shared" si="7"/>
        <v/>
      </c>
    </row>
    <row r="62" spans="1:17" x14ac:dyDescent="0.25">
      <c r="L62" s="25" t="str">
        <f t="shared" si="2"/>
        <v/>
      </c>
      <c r="M62" s="25" t="str">
        <f t="shared" si="3"/>
        <v/>
      </c>
      <c r="N62" s="25" t="str">
        <f t="shared" si="4"/>
        <v/>
      </c>
      <c r="O62" s="25" t="str">
        <f t="shared" si="5"/>
        <v/>
      </c>
      <c r="P62" s="25" t="str">
        <f t="shared" si="6"/>
        <v/>
      </c>
      <c r="Q62" s="25" t="str">
        <f t="shared" si="7"/>
        <v/>
      </c>
    </row>
    <row r="63" spans="1:17" x14ac:dyDescent="0.25">
      <c r="L63" s="25" t="str">
        <f t="shared" si="2"/>
        <v/>
      </c>
      <c r="M63" s="25" t="str">
        <f t="shared" si="3"/>
        <v/>
      </c>
      <c r="N63" s="25" t="str">
        <f t="shared" si="4"/>
        <v/>
      </c>
      <c r="O63" s="25" t="str">
        <f t="shared" si="5"/>
        <v/>
      </c>
      <c r="P63" s="25" t="str">
        <f t="shared" si="6"/>
        <v/>
      </c>
      <c r="Q63" s="25" t="str">
        <f t="shared" si="7"/>
        <v/>
      </c>
    </row>
    <row r="64" spans="1:17" x14ac:dyDescent="0.25">
      <c r="L64" s="25" t="str">
        <f t="shared" si="2"/>
        <v/>
      </c>
      <c r="M64" s="25" t="str">
        <f t="shared" si="3"/>
        <v/>
      </c>
      <c r="N64" s="25" t="str">
        <f t="shared" si="4"/>
        <v/>
      </c>
      <c r="O64" s="25" t="str">
        <f t="shared" si="5"/>
        <v/>
      </c>
      <c r="P64" s="25" t="str">
        <f t="shared" si="6"/>
        <v/>
      </c>
      <c r="Q64" s="25" t="str">
        <f t="shared" si="7"/>
        <v/>
      </c>
    </row>
    <row r="65" spans="12:17" x14ac:dyDescent="0.25">
      <c r="L65" s="25" t="str">
        <f t="shared" si="2"/>
        <v/>
      </c>
      <c r="M65" s="25" t="str">
        <f t="shared" si="3"/>
        <v/>
      </c>
      <c r="N65" s="25" t="str">
        <f t="shared" si="4"/>
        <v/>
      </c>
      <c r="O65" s="25" t="str">
        <f t="shared" si="5"/>
        <v/>
      </c>
      <c r="P65" s="25" t="str">
        <f t="shared" si="6"/>
        <v/>
      </c>
      <c r="Q65" s="25" t="str">
        <f t="shared" si="7"/>
        <v/>
      </c>
    </row>
    <row r="66" spans="12:17" x14ac:dyDescent="0.25">
      <c r="L66" s="25" t="str">
        <f t="shared" ref="L66:L129" si="9">IFERROR(IF(B67/B66-1=-1, "", B67/B66-1), "")</f>
        <v/>
      </c>
      <c r="M66" s="25" t="str">
        <f t="shared" ref="M66:M129" si="10">IFERROR(IF(C67/C66-1=-1, "", C67/C66-1), "")</f>
        <v/>
      </c>
      <c r="N66" s="25" t="str">
        <f t="shared" ref="N66:N129" si="11">IFERROR(IF(D67/D66-1=-1, "", D67/D66-1), "")</f>
        <v/>
      </c>
      <c r="O66" s="25" t="str">
        <f t="shared" ref="O66:O129" si="12">IFERROR(IF(E67/E66-1=-1, "", E67/E66-1), "")</f>
        <v/>
      </c>
      <c r="P66" s="25" t="str">
        <f t="shared" ref="P66:P129" si="13">IFERROR(IF(F67/F66-1=-1, "", F67/F66-1), "")</f>
        <v/>
      </c>
      <c r="Q66" s="25" t="str">
        <f t="shared" ref="Q66:Q129" si="14">IFERROR(IF(G67/G66-1=-1, "", G67/G66-1), "")</f>
        <v/>
      </c>
    </row>
    <row r="67" spans="12:17" x14ac:dyDescent="0.25">
      <c r="L67" s="25" t="str">
        <f t="shared" si="9"/>
        <v/>
      </c>
      <c r="M67" s="25" t="str">
        <f t="shared" si="10"/>
        <v/>
      </c>
      <c r="N67" s="25" t="str">
        <f t="shared" si="11"/>
        <v/>
      </c>
      <c r="O67" s="25" t="str">
        <f t="shared" si="12"/>
        <v/>
      </c>
      <c r="P67" s="25" t="str">
        <f t="shared" si="13"/>
        <v/>
      </c>
      <c r="Q67" s="25" t="str">
        <f t="shared" si="14"/>
        <v/>
      </c>
    </row>
    <row r="68" spans="12:17" x14ac:dyDescent="0.25">
      <c r="L68" s="25" t="str">
        <f t="shared" si="9"/>
        <v/>
      </c>
      <c r="M68" s="25" t="str">
        <f t="shared" si="10"/>
        <v/>
      </c>
      <c r="N68" s="25" t="str">
        <f t="shared" si="11"/>
        <v/>
      </c>
      <c r="O68" s="25" t="str">
        <f t="shared" si="12"/>
        <v/>
      </c>
      <c r="P68" s="25" t="str">
        <f t="shared" si="13"/>
        <v/>
      </c>
      <c r="Q68" s="25" t="str">
        <f t="shared" si="14"/>
        <v/>
      </c>
    </row>
    <row r="69" spans="12:17" x14ac:dyDescent="0.25">
      <c r="L69" s="25" t="str">
        <f t="shared" si="9"/>
        <v/>
      </c>
      <c r="M69" s="25" t="str">
        <f t="shared" si="10"/>
        <v/>
      </c>
      <c r="N69" s="25" t="str">
        <f t="shared" si="11"/>
        <v/>
      </c>
      <c r="O69" s="25" t="str">
        <f t="shared" si="12"/>
        <v/>
      </c>
      <c r="P69" s="25" t="str">
        <f t="shared" si="13"/>
        <v/>
      </c>
      <c r="Q69" s="25" t="str">
        <f t="shared" si="14"/>
        <v/>
      </c>
    </row>
    <row r="70" spans="12:17" x14ac:dyDescent="0.25">
      <c r="L70" s="25" t="str">
        <f t="shared" si="9"/>
        <v/>
      </c>
      <c r="M70" s="25" t="str">
        <f t="shared" si="10"/>
        <v/>
      </c>
      <c r="N70" s="25" t="str">
        <f t="shared" si="11"/>
        <v/>
      </c>
      <c r="O70" s="25" t="str">
        <f t="shared" si="12"/>
        <v/>
      </c>
      <c r="P70" s="25" t="str">
        <f t="shared" si="13"/>
        <v/>
      </c>
      <c r="Q70" s="25" t="str">
        <f t="shared" si="14"/>
        <v/>
      </c>
    </row>
    <row r="71" spans="12:17" x14ac:dyDescent="0.25">
      <c r="L71" s="25" t="str">
        <f t="shared" si="9"/>
        <v/>
      </c>
      <c r="M71" s="25" t="str">
        <f t="shared" si="10"/>
        <v/>
      </c>
      <c r="N71" s="25" t="str">
        <f t="shared" si="11"/>
        <v/>
      </c>
      <c r="O71" s="25" t="str">
        <f t="shared" si="12"/>
        <v/>
      </c>
      <c r="P71" s="25" t="str">
        <f t="shared" si="13"/>
        <v/>
      </c>
      <c r="Q71" s="25" t="str">
        <f t="shared" si="14"/>
        <v/>
      </c>
    </row>
    <row r="72" spans="12:17" x14ac:dyDescent="0.25">
      <c r="L72" s="25" t="str">
        <f t="shared" si="9"/>
        <v/>
      </c>
      <c r="M72" s="25" t="str">
        <f t="shared" si="10"/>
        <v/>
      </c>
      <c r="N72" s="25" t="str">
        <f t="shared" si="11"/>
        <v/>
      </c>
      <c r="O72" s="25" t="str">
        <f t="shared" si="12"/>
        <v/>
      </c>
      <c r="P72" s="25" t="str">
        <f t="shared" si="13"/>
        <v/>
      </c>
      <c r="Q72" s="25" t="str">
        <f t="shared" si="14"/>
        <v/>
      </c>
    </row>
    <row r="73" spans="12:17" x14ac:dyDescent="0.25">
      <c r="L73" s="25" t="str">
        <f t="shared" si="9"/>
        <v/>
      </c>
      <c r="M73" s="25" t="str">
        <f t="shared" si="10"/>
        <v/>
      </c>
      <c r="N73" s="25" t="str">
        <f t="shared" si="11"/>
        <v/>
      </c>
      <c r="O73" s="25" t="str">
        <f t="shared" si="12"/>
        <v/>
      </c>
      <c r="P73" s="25" t="str">
        <f t="shared" si="13"/>
        <v/>
      </c>
      <c r="Q73" s="25" t="str">
        <f t="shared" si="14"/>
        <v/>
      </c>
    </row>
    <row r="74" spans="12:17" x14ac:dyDescent="0.25">
      <c r="L74" s="25" t="str">
        <f t="shared" si="9"/>
        <v/>
      </c>
      <c r="M74" s="25" t="str">
        <f t="shared" si="10"/>
        <v/>
      </c>
      <c r="N74" s="25" t="str">
        <f t="shared" si="11"/>
        <v/>
      </c>
      <c r="O74" s="25" t="str">
        <f t="shared" si="12"/>
        <v/>
      </c>
      <c r="P74" s="25" t="str">
        <f t="shared" si="13"/>
        <v/>
      </c>
      <c r="Q74" s="25" t="str">
        <f t="shared" si="14"/>
        <v/>
      </c>
    </row>
    <row r="75" spans="12:17" x14ac:dyDescent="0.25">
      <c r="L75" s="25" t="str">
        <f t="shared" si="9"/>
        <v/>
      </c>
      <c r="M75" s="25" t="str">
        <f t="shared" si="10"/>
        <v/>
      </c>
      <c r="N75" s="25" t="str">
        <f t="shared" si="11"/>
        <v/>
      </c>
      <c r="O75" s="25" t="str">
        <f t="shared" si="12"/>
        <v/>
      </c>
      <c r="P75" s="25" t="str">
        <f t="shared" si="13"/>
        <v/>
      </c>
      <c r="Q75" s="25" t="str">
        <f t="shared" si="14"/>
        <v/>
      </c>
    </row>
    <row r="76" spans="12:17" x14ac:dyDescent="0.25">
      <c r="L76" s="25" t="str">
        <f t="shared" si="9"/>
        <v/>
      </c>
      <c r="M76" s="25" t="str">
        <f t="shared" si="10"/>
        <v/>
      </c>
      <c r="N76" s="25" t="str">
        <f t="shared" si="11"/>
        <v/>
      </c>
      <c r="O76" s="25" t="str">
        <f t="shared" si="12"/>
        <v/>
      </c>
      <c r="P76" s="25" t="str">
        <f t="shared" si="13"/>
        <v/>
      </c>
      <c r="Q76" s="25" t="str">
        <f t="shared" si="14"/>
        <v/>
      </c>
    </row>
    <row r="77" spans="12:17" x14ac:dyDescent="0.25">
      <c r="L77" s="25" t="str">
        <f t="shared" si="9"/>
        <v/>
      </c>
      <c r="M77" s="25" t="str">
        <f t="shared" si="10"/>
        <v/>
      </c>
      <c r="N77" s="25" t="str">
        <f t="shared" si="11"/>
        <v/>
      </c>
      <c r="O77" s="25" t="str">
        <f t="shared" si="12"/>
        <v/>
      </c>
      <c r="P77" s="25" t="str">
        <f t="shared" si="13"/>
        <v/>
      </c>
      <c r="Q77" s="25" t="str">
        <f t="shared" si="14"/>
        <v/>
      </c>
    </row>
    <row r="78" spans="12:17" x14ac:dyDescent="0.25">
      <c r="L78" s="25" t="str">
        <f t="shared" si="9"/>
        <v/>
      </c>
      <c r="M78" s="25" t="str">
        <f t="shared" si="10"/>
        <v/>
      </c>
      <c r="N78" s="25" t="str">
        <f t="shared" si="11"/>
        <v/>
      </c>
      <c r="O78" s="25" t="str">
        <f t="shared" si="12"/>
        <v/>
      </c>
      <c r="P78" s="25" t="str">
        <f t="shared" si="13"/>
        <v/>
      </c>
      <c r="Q78" s="25" t="str">
        <f t="shared" si="14"/>
        <v/>
      </c>
    </row>
    <row r="79" spans="12:17" x14ac:dyDescent="0.25">
      <c r="L79" s="25" t="str">
        <f t="shared" si="9"/>
        <v/>
      </c>
      <c r="M79" s="25" t="str">
        <f t="shared" si="10"/>
        <v/>
      </c>
      <c r="N79" s="25" t="str">
        <f t="shared" si="11"/>
        <v/>
      </c>
      <c r="O79" s="25" t="str">
        <f t="shared" si="12"/>
        <v/>
      </c>
      <c r="P79" s="25" t="str">
        <f t="shared" si="13"/>
        <v/>
      </c>
      <c r="Q79" s="25" t="str">
        <f t="shared" si="14"/>
        <v/>
      </c>
    </row>
    <row r="80" spans="12:17" x14ac:dyDescent="0.25">
      <c r="L80" s="25" t="str">
        <f t="shared" si="9"/>
        <v/>
      </c>
      <c r="M80" s="25" t="str">
        <f t="shared" si="10"/>
        <v/>
      </c>
      <c r="N80" s="25" t="str">
        <f t="shared" si="11"/>
        <v/>
      </c>
      <c r="O80" s="25" t="str">
        <f t="shared" si="12"/>
        <v/>
      </c>
      <c r="P80" s="25" t="str">
        <f t="shared" si="13"/>
        <v/>
      </c>
      <c r="Q80" s="25" t="str">
        <f t="shared" si="14"/>
        <v/>
      </c>
    </row>
    <row r="81" spans="12:17" x14ac:dyDescent="0.25">
      <c r="L81" s="25" t="str">
        <f t="shared" si="9"/>
        <v/>
      </c>
      <c r="M81" s="25" t="str">
        <f t="shared" si="10"/>
        <v/>
      </c>
      <c r="N81" s="25" t="str">
        <f t="shared" si="11"/>
        <v/>
      </c>
      <c r="O81" s="25" t="str">
        <f t="shared" si="12"/>
        <v/>
      </c>
      <c r="P81" s="25" t="str">
        <f t="shared" si="13"/>
        <v/>
      </c>
      <c r="Q81" s="25" t="str">
        <f t="shared" si="14"/>
        <v/>
      </c>
    </row>
    <row r="82" spans="12:17" x14ac:dyDescent="0.25">
      <c r="L82" s="25" t="str">
        <f t="shared" si="9"/>
        <v/>
      </c>
      <c r="M82" s="25" t="str">
        <f t="shared" si="10"/>
        <v/>
      </c>
      <c r="N82" s="25" t="str">
        <f t="shared" si="11"/>
        <v/>
      </c>
      <c r="O82" s="25" t="str">
        <f t="shared" si="12"/>
        <v/>
      </c>
      <c r="P82" s="25" t="str">
        <f t="shared" si="13"/>
        <v/>
      </c>
      <c r="Q82" s="25" t="str">
        <f t="shared" si="14"/>
        <v/>
      </c>
    </row>
    <row r="83" spans="12:17" x14ac:dyDescent="0.25">
      <c r="L83" s="25" t="str">
        <f t="shared" si="9"/>
        <v/>
      </c>
      <c r="M83" s="25" t="str">
        <f t="shared" si="10"/>
        <v/>
      </c>
      <c r="N83" s="25" t="str">
        <f t="shared" si="11"/>
        <v/>
      </c>
      <c r="O83" s="25" t="str">
        <f t="shared" si="12"/>
        <v/>
      </c>
      <c r="P83" s="25" t="str">
        <f t="shared" si="13"/>
        <v/>
      </c>
      <c r="Q83" s="25" t="str">
        <f t="shared" si="14"/>
        <v/>
      </c>
    </row>
    <row r="84" spans="12:17" x14ac:dyDescent="0.25">
      <c r="L84" s="25" t="str">
        <f t="shared" si="9"/>
        <v/>
      </c>
      <c r="M84" s="25" t="str">
        <f t="shared" si="10"/>
        <v/>
      </c>
      <c r="N84" s="25" t="str">
        <f t="shared" si="11"/>
        <v/>
      </c>
      <c r="O84" s="25" t="str">
        <f t="shared" si="12"/>
        <v/>
      </c>
      <c r="P84" s="25" t="str">
        <f t="shared" si="13"/>
        <v/>
      </c>
      <c r="Q84" s="25" t="str">
        <f t="shared" si="14"/>
        <v/>
      </c>
    </row>
    <row r="85" spans="12:17" x14ac:dyDescent="0.25">
      <c r="L85" s="25" t="str">
        <f t="shared" si="9"/>
        <v/>
      </c>
      <c r="M85" s="25" t="str">
        <f t="shared" si="10"/>
        <v/>
      </c>
      <c r="N85" s="25" t="str">
        <f t="shared" si="11"/>
        <v/>
      </c>
      <c r="O85" s="25" t="str">
        <f t="shared" si="12"/>
        <v/>
      </c>
      <c r="P85" s="25" t="str">
        <f t="shared" si="13"/>
        <v/>
      </c>
      <c r="Q85" s="25" t="str">
        <f t="shared" si="14"/>
        <v/>
      </c>
    </row>
    <row r="86" spans="12:17" x14ac:dyDescent="0.25">
      <c r="L86" s="25" t="str">
        <f t="shared" si="9"/>
        <v/>
      </c>
      <c r="M86" s="25" t="str">
        <f t="shared" si="10"/>
        <v/>
      </c>
      <c r="N86" s="25" t="str">
        <f t="shared" si="11"/>
        <v/>
      </c>
      <c r="O86" s="25" t="str">
        <f t="shared" si="12"/>
        <v/>
      </c>
      <c r="P86" s="25" t="str">
        <f t="shared" si="13"/>
        <v/>
      </c>
      <c r="Q86" s="25" t="str">
        <f t="shared" si="14"/>
        <v/>
      </c>
    </row>
    <row r="87" spans="12:17" x14ac:dyDescent="0.25">
      <c r="L87" s="25" t="str">
        <f t="shared" si="9"/>
        <v/>
      </c>
      <c r="M87" s="25" t="str">
        <f t="shared" si="10"/>
        <v/>
      </c>
      <c r="N87" s="25" t="str">
        <f t="shared" si="11"/>
        <v/>
      </c>
      <c r="O87" s="25" t="str">
        <f t="shared" si="12"/>
        <v/>
      </c>
      <c r="P87" s="25" t="str">
        <f t="shared" si="13"/>
        <v/>
      </c>
      <c r="Q87" s="25" t="str">
        <f t="shared" si="14"/>
        <v/>
      </c>
    </row>
    <row r="88" spans="12:17" x14ac:dyDescent="0.25">
      <c r="L88" s="25" t="str">
        <f t="shared" si="9"/>
        <v/>
      </c>
      <c r="M88" s="25" t="str">
        <f t="shared" si="10"/>
        <v/>
      </c>
      <c r="N88" s="25" t="str">
        <f t="shared" si="11"/>
        <v/>
      </c>
      <c r="O88" s="25" t="str">
        <f t="shared" si="12"/>
        <v/>
      </c>
      <c r="P88" s="25" t="str">
        <f t="shared" si="13"/>
        <v/>
      </c>
      <c r="Q88" s="25" t="str">
        <f t="shared" si="14"/>
        <v/>
      </c>
    </row>
    <row r="89" spans="12:17" x14ac:dyDescent="0.25">
      <c r="L89" s="25" t="str">
        <f t="shared" si="9"/>
        <v/>
      </c>
      <c r="M89" s="25" t="str">
        <f t="shared" si="10"/>
        <v/>
      </c>
      <c r="N89" s="25" t="str">
        <f t="shared" si="11"/>
        <v/>
      </c>
      <c r="O89" s="25" t="str">
        <f t="shared" si="12"/>
        <v/>
      </c>
      <c r="P89" s="25" t="str">
        <f t="shared" si="13"/>
        <v/>
      </c>
      <c r="Q89" s="25" t="str">
        <f t="shared" si="14"/>
        <v/>
      </c>
    </row>
    <row r="90" spans="12:17" x14ac:dyDescent="0.25">
      <c r="L90" s="25" t="str">
        <f t="shared" si="9"/>
        <v/>
      </c>
      <c r="M90" s="25" t="str">
        <f t="shared" si="10"/>
        <v/>
      </c>
      <c r="N90" s="25" t="str">
        <f t="shared" si="11"/>
        <v/>
      </c>
      <c r="O90" s="25" t="str">
        <f t="shared" si="12"/>
        <v/>
      </c>
      <c r="P90" s="25" t="str">
        <f t="shared" si="13"/>
        <v/>
      </c>
      <c r="Q90" s="25" t="str">
        <f t="shared" si="14"/>
        <v/>
      </c>
    </row>
    <row r="91" spans="12:17" x14ac:dyDescent="0.25">
      <c r="L91" s="25" t="str">
        <f t="shared" si="9"/>
        <v/>
      </c>
      <c r="M91" s="25" t="str">
        <f t="shared" si="10"/>
        <v/>
      </c>
      <c r="N91" s="25" t="str">
        <f t="shared" si="11"/>
        <v/>
      </c>
      <c r="O91" s="25" t="str">
        <f t="shared" si="12"/>
        <v/>
      </c>
      <c r="P91" s="25" t="str">
        <f t="shared" si="13"/>
        <v/>
      </c>
      <c r="Q91" s="25" t="str">
        <f t="shared" si="14"/>
        <v/>
      </c>
    </row>
    <row r="92" spans="12:17" x14ac:dyDescent="0.25">
      <c r="L92" s="25" t="str">
        <f t="shared" si="9"/>
        <v/>
      </c>
      <c r="M92" s="25" t="str">
        <f t="shared" si="10"/>
        <v/>
      </c>
      <c r="N92" s="25" t="str">
        <f t="shared" si="11"/>
        <v/>
      </c>
      <c r="O92" s="25" t="str">
        <f t="shared" si="12"/>
        <v/>
      </c>
      <c r="P92" s="25" t="str">
        <f t="shared" si="13"/>
        <v/>
      </c>
      <c r="Q92" s="25" t="str">
        <f t="shared" si="14"/>
        <v/>
      </c>
    </row>
    <row r="93" spans="12:17" x14ac:dyDescent="0.25">
      <c r="L93" s="25" t="str">
        <f t="shared" si="9"/>
        <v/>
      </c>
      <c r="M93" s="25" t="str">
        <f t="shared" si="10"/>
        <v/>
      </c>
      <c r="N93" s="25" t="str">
        <f t="shared" si="11"/>
        <v/>
      </c>
      <c r="O93" s="25" t="str">
        <f t="shared" si="12"/>
        <v/>
      </c>
      <c r="P93" s="25" t="str">
        <f t="shared" si="13"/>
        <v/>
      </c>
      <c r="Q93" s="25" t="str">
        <f t="shared" si="14"/>
        <v/>
      </c>
    </row>
    <row r="94" spans="12:17" x14ac:dyDescent="0.25">
      <c r="L94" s="25" t="str">
        <f t="shared" si="9"/>
        <v/>
      </c>
      <c r="M94" s="25" t="str">
        <f t="shared" si="10"/>
        <v/>
      </c>
      <c r="N94" s="25" t="str">
        <f t="shared" si="11"/>
        <v/>
      </c>
      <c r="O94" s="25" t="str">
        <f t="shared" si="12"/>
        <v/>
      </c>
      <c r="P94" s="25" t="str">
        <f t="shared" si="13"/>
        <v/>
      </c>
      <c r="Q94" s="25" t="str">
        <f t="shared" si="14"/>
        <v/>
      </c>
    </row>
    <row r="95" spans="12:17" x14ac:dyDescent="0.25">
      <c r="L95" s="25" t="str">
        <f t="shared" si="9"/>
        <v/>
      </c>
      <c r="M95" s="25" t="str">
        <f t="shared" si="10"/>
        <v/>
      </c>
      <c r="N95" s="25" t="str">
        <f t="shared" si="11"/>
        <v/>
      </c>
      <c r="O95" s="25" t="str">
        <f t="shared" si="12"/>
        <v/>
      </c>
      <c r="P95" s="25" t="str">
        <f t="shared" si="13"/>
        <v/>
      </c>
      <c r="Q95" s="25" t="str">
        <f t="shared" si="14"/>
        <v/>
      </c>
    </row>
    <row r="96" spans="12:17" x14ac:dyDescent="0.25">
      <c r="L96" s="25" t="str">
        <f t="shared" si="9"/>
        <v/>
      </c>
      <c r="M96" s="25" t="str">
        <f t="shared" si="10"/>
        <v/>
      </c>
      <c r="N96" s="25" t="str">
        <f t="shared" si="11"/>
        <v/>
      </c>
      <c r="O96" s="25" t="str">
        <f t="shared" si="12"/>
        <v/>
      </c>
      <c r="P96" s="25" t="str">
        <f t="shared" si="13"/>
        <v/>
      </c>
      <c r="Q96" s="25" t="str">
        <f t="shared" si="14"/>
        <v/>
      </c>
    </row>
    <row r="97" spans="12:17" x14ac:dyDescent="0.25">
      <c r="L97" s="25" t="str">
        <f t="shared" si="9"/>
        <v/>
      </c>
      <c r="M97" s="25" t="str">
        <f t="shared" si="10"/>
        <v/>
      </c>
      <c r="N97" s="25" t="str">
        <f t="shared" si="11"/>
        <v/>
      </c>
      <c r="O97" s="25" t="str">
        <f t="shared" si="12"/>
        <v/>
      </c>
      <c r="P97" s="25" t="str">
        <f t="shared" si="13"/>
        <v/>
      </c>
      <c r="Q97" s="25" t="str">
        <f t="shared" si="14"/>
        <v/>
      </c>
    </row>
    <row r="98" spans="12:17" x14ac:dyDescent="0.25">
      <c r="L98" s="25" t="str">
        <f t="shared" si="9"/>
        <v/>
      </c>
      <c r="M98" s="25" t="str">
        <f t="shared" si="10"/>
        <v/>
      </c>
      <c r="N98" s="25" t="str">
        <f t="shared" si="11"/>
        <v/>
      </c>
      <c r="O98" s="25" t="str">
        <f t="shared" si="12"/>
        <v/>
      </c>
      <c r="P98" s="25" t="str">
        <f t="shared" si="13"/>
        <v/>
      </c>
      <c r="Q98" s="25" t="str">
        <f t="shared" si="14"/>
        <v/>
      </c>
    </row>
    <row r="99" spans="12:17" x14ac:dyDescent="0.25">
      <c r="L99" s="25" t="str">
        <f t="shared" si="9"/>
        <v/>
      </c>
      <c r="M99" s="25" t="str">
        <f t="shared" si="10"/>
        <v/>
      </c>
      <c r="N99" s="25" t="str">
        <f t="shared" si="11"/>
        <v/>
      </c>
      <c r="O99" s="25" t="str">
        <f t="shared" si="12"/>
        <v/>
      </c>
      <c r="P99" s="25" t="str">
        <f t="shared" si="13"/>
        <v/>
      </c>
      <c r="Q99" s="25" t="str">
        <f t="shared" si="14"/>
        <v/>
      </c>
    </row>
    <row r="100" spans="12:17" x14ac:dyDescent="0.25">
      <c r="L100" s="25" t="str">
        <f t="shared" si="9"/>
        <v/>
      </c>
      <c r="M100" s="25" t="str">
        <f t="shared" si="10"/>
        <v/>
      </c>
      <c r="N100" s="25" t="str">
        <f t="shared" si="11"/>
        <v/>
      </c>
      <c r="O100" s="25" t="str">
        <f t="shared" si="12"/>
        <v/>
      </c>
      <c r="P100" s="25" t="str">
        <f t="shared" si="13"/>
        <v/>
      </c>
      <c r="Q100" s="25" t="str">
        <f t="shared" si="14"/>
        <v/>
      </c>
    </row>
    <row r="101" spans="12:17" x14ac:dyDescent="0.25">
      <c r="L101" s="25" t="str">
        <f t="shared" si="9"/>
        <v/>
      </c>
      <c r="M101" s="25" t="str">
        <f t="shared" si="10"/>
        <v/>
      </c>
      <c r="N101" s="25" t="str">
        <f t="shared" si="11"/>
        <v/>
      </c>
      <c r="O101" s="25" t="str">
        <f t="shared" si="12"/>
        <v/>
      </c>
      <c r="P101" s="25" t="str">
        <f t="shared" si="13"/>
        <v/>
      </c>
      <c r="Q101" s="25" t="str">
        <f t="shared" si="14"/>
        <v/>
      </c>
    </row>
    <row r="102" spans="12:17" x14ac:dyDescent="0.25">
      <c r="L102" s="25" t="str">
        <f t="shared" si="9"/>
        <v/>
      </c>
      <c r="M102" s="25" t="str">
        <f t="shared" si="10"/>
        <v/>
      </c>
      <c r="N102" s="25" t="str">
        <f t="shared" si="11"/>
        <v/>
      </c>
      <c r="O102" s="25" t="str">
        <f t="shared" si="12"/>
        <v/>
      </c>
      <c r="P102" s="25" t="str">
        <f t="shared" si="13"/>
        <v/>
      </c>
      <c r="Q102" s="25" t="str">
        <f t="shared" si="14"/>
        <v/>
      </c>
    </row>
    <row r="103" spans="12:17" x14ac:dyDescent="0.25">
      <c r="L103" s="25" t="str">
        <f t="shared" si="9"/>
        <v/>
      </c>
      <c r="M103" s="25" t="str">
        <f t="shared" si="10"/>
        <v/>
      </c>
      <c r="N103" s="25" t="str">
        <f t="shared" si="11"/>
        <v/>
      </c>
      <c r="O103" s="25" t="str">
        <f t="shared" si="12"/>
        <v/>
      </c>
      <c r="P103" s="25" t="str">
        <f t="shared" si="13"/>
        <v/>
      </c>
      <c r="Q103" s="25" t="str">
        <f t="shared" si="14"/>
        <v/>
      </c>
    </row>
    <row r="104" spans="12:17" x14ac:dyDescent="0.25">
      <c r="L104" s="25" t="str">
        <f t="shared" si="9"/>
        <v/>
      </c>
      <c r="M104" s="25" t="str">
        <f t="shared" si="10"/>
        <v/>
      </c>
      <c r="N104" s="25" t="str">
        <f t="shared" si="11"/>
        <v/>
      </c>
      <c r="O104" s="25" t="str">
        <f t="shared" si="12"/>
        <v/>
      </c>
      <c r="P104" s="25" t="str">
        <f t="shared" si="13"/>
        <v/>
      </c>
      <c r="Q104" s="25" t="str">
        <f t="shared" si="14"/>
        <v/>
      </c>
    </row>
    <row r="105" spans="12:17" x14ac:dyDescent="0.25">
      <c r="L105" s="25" t="str">
        <f t="shared" si="9"/>
        <v/>
      </c>
      <c r="M105" s="25" t="str">
        <f t="shared" si="10"/>
        <v/>
      </c>
      <c r="N105" s="25" t="str">
        <f t="shared" si="11"/>
        <v/>
      </c>
      <c r="O105" s="25" t="str">
        <f t="shared" si="12"/>
        <v/>
      </c>
      <c r="P105" s="25" t="str">
        <f t="shared" si="13"/>
        <v/>
      </c>
      <c r="Q105" s="25" t="str">
        <f t="shared" si="14"/>
        <v/>
      </c>
    </row>
    <row r="106" spans="12:17" x14ac:dyDescent="0.25">
      <c r="L106" s="25" t="str">
        <f t="shared" si="9"/>
        <v/>
      </c>
      <c r="M106" s="25" t="str">
        <f t="shared" si="10"/>
        <v/>
      </c>
      <c r="N106" s="25" t="str">
        <f t="shared" si="11"/>
        <v/>
      </c>
      <c r="O106" s="25" t="str">
        <f t="shared" si="12"/>
        <v/>
      </c>
      <c r="P106" s="25" t="str">
        <f t="shared" si="13"/>
        <v/>
      </c>
      <c r="Q106" s="25" t="str">
        <f t="shared" si="14"/>
        <v/>
      </c>
    </row>
    <row r="107" spans="12:17" x14ac:dyDescent="0.25">
      <c r="L107" s="25" t="str">
        <f t="shared" si="9"/>
        <v/>
      </c>
      <c r="M107" s="25" t="str">
        <f t="shared" si="10"/>
        <v/>
      </c>
      <c r="N107" s="25" t="str">
        <f t="shared" si="11"/>
        <v/>
      </c>
      <c r="O107" s="25" t="str">
        <f t="shared" si="12"/>
        <v/>
      </c>
      <c r="P107" s="25" t="str">
        <f t="shared" si="13"/>
        <v/>
      </c>
      <c r="Q107" s="25" t="str">
        <f t="shared" si="14"/>
        <v/>
      </c>
    </row>
    <row r="108" spans="12:17" x14ac:dyDescent="0.25">
      <c r="L108" s="25" t="str">
        <f t="shared" si="9"/>
        <v/>
      </c>
      <c r="M108" s="25" t="str">
        <f t="shared" si="10"/>
        <v/>
      </c>
      <c r="N108" s="25" t="str">
        <f t="shared" si="11"/>
        <v/>
      </c>
      <c r="O108" s="25" t="str">
        <f t="shared" si="12"/>
        <v/>
      </c>
      <c r="P108" s="25" t="str">
        <f t="shared" si="13"/>
        <v/>
      </c>
      <c r="Q108" s="25" t="str">
        <f t="shared" si="14"/>
        <v/>
      </c>
    </row>
    <row r="109" spans="12:17" x14ac:dyDescent="0.25">
      <c r="L109" s="25" t="str">
        <f t="shared" si="9"/>
        <v/>
      </c>
      <c r="M109" s="25" t="str">
        <f t="shared" si="10"/>
        <v/>
      </c>
      <c r="N109" s="25" t="str">
        <f t="shared" si="11"/>
        <v/>
      </c>
      <c r="O109" s="25" t="str">
        <f t="shared" si="12"/>
        <v/>
      </c>
      <c r="P109" s="25" t="str">
        <f t="shared" si="13"/>
        <v/>
      </c>
      <c r="Q109" s="25" t="str">
        <f t="shared" si="14"/>
        <v/>
      </c>
    </row>
    <row r="110" spans="12:17" x14ac:dyDescent="0.25">
      <c r="L110" s="25" t="str">
        <f t="shared" si="9"/>
        <v/>
      </c>
      <c r="M110" s="25" t="str">
        <f t="shared" si="10"/>
        <v/>
      </c>
      <c r="N110" s="25" t="str">
        <f t="shared" si="11"/>
        <v/>
      </c>
      <c r="O110" s="25" t="str">
        <f t="shared" si="12"/>
        <v/>
      </c>
      <c r="P110" s="25" t="str">
        <f t="shared" si="13"/>
        <v/>
      </c>
      <c r="Q110" s="25" t="str">
        <f t="shared" si="14"/>
        <v/>
      </c>
    </row>
    <row r="111" spans="12:17" x14ac:dyDescent="0.25">
      <c r="L111" s="25" t="str">
        <f t="shared" si="9"/>
        <v/>
      </c>
      <c r="M111" s="25" t="str">
        <f t="shared" si="10"/>
        <v/>
      </c>
      <c r="N111" s="25" t="str">
        <f t="shared" si="11"/>
        <v/>
      </c>
      <c r="O111" s="25" t="str">
        <f t="shared" si="12"/>
        <v/>
      </c>
      <c r="P111" s="25" t="str">
        <f t="shared" si="13"/>
        <v/>
      </c>
      <c r="Q111" s="25" t="str">
        <f t="shared" si="14"/>
        <v/>
      </c>
    </row>
    <row r="112" spans="12:17" x14ac:dyDescent="0.25">
      <c r="L112" s="25" t="str">
        <f t="shared" si="9"/>
        <v/>
      </c>
      <c r="M112" s="25" t="str">
        <f t="shared" si="10"/>
        <v/>
      </c>
      <c r="N112" s="25" t="str">
        <f t="shared" si="11"/>
        <v/>
      </c>
      <c r="O112" s="25" t="str">
        <f t="shared" si="12"/>
        <v/>
      </c>
      <c r="P112" s="25" t="str">
        <f t="shared" si="13"/>
        <v/>
      </c>
      <c r="Q112" s="25" t="str">
        <f t="shared" si="14"/>
        <v/>
      </c>
    </row>
    <row r="113" spans="12:17" x14ac:dyDescent="0.25">
      <c r="L113" s="25" t="str">
        <f t="shared" si="9"/>
        <v/>
      </c>
      <c r="M113" s="25" t="str">
        <f t="shared" si="10"/>
        <v/>
      </c>
      <c r="N113" s="25" t="str">
        <f t="shared" si="11"/>
        <v/>
      </c>
      <c r="O113" s="25" t="str">
        <f t="shared" si="12"/>
        <v/>
      </c>
      <c r="P113" s="25" t="str">
        <f t="shared" si="13"/>
        <v/>
      </c>
      <c r="Q113" s="25" t="str">
        <f t="shared" si="14"/>
        <v/>
      </c>
    </row>
    <row r="114" spans="12:17" x14ac:dyDescent="0.25">
      <c r="L114" s="25" t="str">
        <f t="shared" si="9"/>
        <v/>
      </c>
      <c r="M114" s="25" t="str">
        <f t="shared" si="10"/>
        <v/>
      </c>
      <c r="N114" s="25" t="str">
        <f t="shared" si="11"/>
        <v/>
      </c>
      <c r="O114" s="25" t="str">
        <f t="shared" si="12"/>
        <v/>
      </c>
      <c r="P114" s="25" t="str">
        <f t="shared" si="13"/>
        <v/>
      </c>
      <c r="Q114" s="25" t="str">
        <f t="shared" si="14"/>
        <v/>
      </c>
    </row>
    <row r="115" spans="12:17" x14ac:dyDescent="0.25">
      <c r="L115" s="25" t="str">
        <f t="shared" si="9"/>
        <v/>
      </c>
      <c r="M115" s="25" t="str">
        <f t="shared" si="10"/>
        <v/>
      </c>
      <c r="N115" s="25" t="str">
        <f t="shared" si="11"/>
        <v/>
      </c>
      <c r="O115" s="25" t="str">
        <f t="shared" si="12"/>
        <v/>
      </c>
      <c r="P115" s="25" t="str">
        <f t="shared" si="13"/>
        <v/>
      </c>
      <c r="Q115" s="25" t="str">
        <f t="shared" si="14"/>
        <v/>
      </c>
    </row>
    <row r="116" spans="12:17" x14ac:dyDescent="0.25">
      <c r="L116" s="25" t="str">
        <f t="shared" si="9"/>
        <v/>
      </c>
      <c r="M116" s="25" t="str">
        <f t="shared" si="10"/>
        <v/>
      </c>
      <c r="N116" s="25" t="str">
        <f t="shared" si="11"/>
        <v/>
      </c>
      <c r="O116" s="25" t="str">
        <f t="shared" si="12"/>
        <v/>
      </c>
      <c r="P116" s="25" t="str">
        <f t="shared" si="13"/>
        <v/>
      </c>
      <c r="Q116" s="25" t="str">
        <f t="shared" si="14"/>
        <v/>
      </c>
    </row>
    <row r="117" spans="12:17" x14ac:dyDescent="0.25">
      <c r="L117" s="25" t="str">
        <f t="shared" si="9"/>
        <v/>
      </c>
      <c r="M117" s="25" t="str">
        <f t="shared" si="10"/>
        <v/>
      </c>
      <c r="N117" s="25" t="str">
        <f t="shared" si="11"/>
        <v/>
      </c>
      <c r="O117" s="25" t="str">
        <f t="shared" si="12"/>
        <v/>
      </c>
      <c r="P117" s="25" t="str">
        <f t="shared" si="13"/>
        <v/>
      </c>
      <c r="Q117" s="25" t="str">
        <f t="shared" si="14"/>
        <v/>
      </c>
    </row>
    <row r="118" spans="12:17" x14ac:dyDescent="0.25">
      <c r="L118" s="25" t="str">
        <f t="shared" si="9"/>
        <v/>
      </c>
      <c r="M118" s="25" t="str">
        <f t="shared" si="10"/>
        <v/>
      </c>
      <c r="N118" s="25" t="str">
        <f t="shared" si="11"/>
        <v/>
      </c>
      <c r="O118" s="25" t="str">
        <f t="shared" si="12"/>
        <v/>
      </c>
      <c r="P118" s="25" t="str">
        <f t="shared" si="13"/>
        <v/>
      </c>
      <c r="Q118" s="25" t="str">
        <f t="shared" si="14"/>
        <v/>
      </c>
    </row>
    <row r="119" spans="12:17" x14ac:dyDescent="0.25">
      <c r="L119" s="25" t="str">
        <f t="shared" si="9"/>
        <v/>
      </c>
      <c r="M119" s="25" t="str">
        <f t="shared" si="10"/>
        <v/>
      </c>
      <c r="N119" s="25" t="str">
        <f t="shared" si="11"/>
        <v/>
      </c>
      <c r="O119" s="25" t="str">
        <f t="shared" si="12"/>
        <v/>
      </c>
      <c r="P119" s="25" t="str">
        <f t="shared" si="13"/>
        <v/>
      </c>
      <c r="Q119" s="25" t="str">
        <f t="shared" si="14"/>
        <v/>
      </c>
    </row>
    <row r="120" spans="12:17" x14ac:dyDescent="0.25">
      <c r="L120" s="25" t="str">
        <f t="shared" si="9"/>
        <v/>
      </c>
      <c r="M120" s="25" t="str">
        <f t="shared" si="10"/>
        <v/>
      </c>
      <c r="N120" s="25" t="str">
        <f t="shared" si="11"/>
        <v/>
      </c>
      <c r="O120" s="25" t="str">
        <f t="shared" si="12"/>
        <v/>
      </c>
      <c r="P120" s="25" t="str">
        <f t="shared" si="13"/>
        <v/>
      </c>
      <c r="Q120" s="25" t="str">
        <f t="shared" si="14"/>
        <v/>
      </c>
    </row>
    <row r="121" spans="12:17" x14ac:dyDescent="0.25">
      <c r="L121" s="25" t="str">
        <f t="shared" si="9"/>
        <v/>
      </c>
      <c r="M121" s="25" t="str">
        <f t="shared" si="10"/>
        <v/>
      </c>
      <c r="N121" s="25" t="str">
        <f t="shared" si="11"/>
        <v/>
      </c>
      <c r="O121" s="25" t="str">
        <f t="shared" si="12"/>
        <v/>
      </c>
      <c r="P121" s="25" t="str">
        <f t="shared" si="13"/>
        <v/>
      </c>
      <c r="Q121" s="25" t="str">
        <f t="shared" si="14"/>
        <v/>
      </c>
    </row>
    <row r="122" spans="12:17" x14ac:dyDescent="0.25">
      <c r="L122" s="25" t="str">
        <f t="shared" si="9"/>
        <v/>
      </c>
      <c r="M122" s="25" t="str">
        <f t="shared" si="10"/>
        <v/>
      </c>
      <c r="N122" s="25" t="str">
        <f t="shared" si="11"/>
        <v/>
      </c>
      <c r="O122" s="25" t="str">
        <f t="shared" si="12"/>
        <v/>
      </c>
      <c r="P122" s="25" t="str">
        <f t="shared" si="13"/>
        <v/>
      </c>
      <c r="Q122" s="25" t="str">
        <f t="shared" si="14"/>
        <v/>
      </c>
    </row>
    <row r="123" spans="12:17" x14ac:dyDescent="0.25">
      <c r="L123" s="25" t="str">
        <f t="shared" si="9"/>
        <v/>
      </c>
      <c r="M123" s="25" t="str">
        <f t="shared" si="10"/>
        <v/>
      </c>
      <c r="N123" s="25" t="str">
        <f t="shared" si="11"/>
        <v/>
      </c>
      <c r="O123" s="25" t="str">
        <f t="shared" si="12"/>
        <v/>
      </c>
      <c r="P123" s="25" t="str">
        <f t="shared" si="13"/>
        <v/>
      </c>
      <c r="Q123" s="25" t="str">
        <f t="shared" si="14"/>
        <v/>
      </c>
    </row>
    <row r="124" spans="12:17" x14ac:dyDescent="0.25">
      <c r="L124" s="25" t="str">
        <f t="shared" si="9"/>
        <v/>
      </c>
      <c r="M124" s="25" t="str">
        <f t="shared" si="10"/>
        <v/>
      </c>
      <c r="N124" s="25" t="str">
        <f t="shared" si="11"/>
        <v/>
      </c>
      <c r="O124" s="25" t="str">
        <f t="shared" si="12"/>
        <v/>
      </c>
      <c r="P124" s="25" t="str">
        <f t="shared" si="13"/>
        <v/>
      </c>
      <c r="Q124" s="25" t="str">
        <f t="shared" si="14"/>
        <v/>
      </c>
    </row>
    <row r="125" spans="12:17" x14ac:dyDescent="0.25">
      <c r="L125" s="25" t="str">
        <f t="shared" si="9"/>
        <v/>
      </c>
      <c r="M125" s="25" t="str">
        <f t="shared" si="10"/>
        <v/>
      </c>
      <c r="N125" s="25" t="str">
        <f t="shared" si="11"/>
        <v/>
      </c>
      <c r="O125" s="25" t="str">
        <f t="shared" si="12"/>
        <v/>
      </c>
      <c r="P125" s="25" t="str">
        <f t="shared" si="13"/>
        <v/>
      </c>
      <c r="Q125" s="25" t="str">
        <f t="shared" si="14"/>
        <v/>
      </c>
    </row>
    <row r="126" spans="12:17" x14ac:dyDescent="0.25">
      <c r="L126" s="25" t="str">
        <f t="shared" si="9"/>
        <v/>
      </c>
      <c r="M126" s="25" t="str">
        <f t="shared" si="10"/>
        <v/>
      </c>
      <c r="N126" s="25" t="str">
        <f t="shared" si="11"/>
        <v/>
      </c>
      <c r="O126" s="25" t="str">
        <f t="shared" si="12"/>
        <v/>
      </c>
      <c r="P126" s="25" t="str">
        <f t="shared" si="13"/>
        <v/>
      </c>
      <c r="Q126" s="25" t="str">
        <f t="shared" si="14"/>
        <v/>
      </c>
    </row>
    <row r="127" spans="12:17" x14ac:dyDescent="0.25">
      <c r="L127" s="25" t="str">
        <f t="shared" si="9"/>
        <v/>
      </c>
      <c r="M127" s="25" t="str">
        <f t="shared" si="10"/>
        <v/>
      </c>
      <c r="N127" s="25" t="str">
        <f t="shared" si="11"/>
        <v/>
      </c>
      <c r="O127" s="25" t="str">
        <f t="shared" si="12"/>
        <v/>
      </c>
      <c r="P127" s="25" t="str">
        <f t="shared" si="13"/>
        <v/>
      </c>
      <c r="Q127" s="25" t="str">
        <f t="shared" si="14"/>
        <v/>
      </c>
    </row>
    <row r="128" spans="12:17" x14ac:dyDescent="0.25">
      <c r="L128" s="25" t="str">
        <f t="shared" si="9"/>
        <v/>
      </c>
      <c r="M128" s="25" t="str">
        <f t="shared" si="10"/>
        <v/>
      </c>
      <c r="N128" s="25" t="str">
        <f t="shared" si="11"/>
        <v/>
      </c>
      <c r="O128" s="25" t="str">
        <f t="shared" si="12"/>
        <v/>
      </c>
      <c r="P128" s="25" t="str">
        <f t="shared" si="13"/>
        <v/>
      </c>
      <c r="Q128" s="25" t="str">
        <f t="shared" si="14"/>
        <v/>
      </c>
    </row>
    <row r="129" spans="12:17" x14ac:dyDescent="0.25">
      <c r="L129" s="25" t="str">
        <f t="shared" si="9"/>
        <v/>
      </c>
      <c r="M129" s="25" t="str">
        <f t="shared" si="10"/>
        <v/>
      </c>
      <c r="N129" s="25" t="str">
        <f t="shared" si="11"/>
        <v/>
      </c>
      <c r="O129" s="25" t="str">
        <f t="shared" si="12"/>
        <v/>
      </c>
      <c r="P129" s="25" t="str">
        <f t="shared" si="13"/>
        <v/>
      </c>
      <c r="Q129" s="25" t="str">
        <f t="shared" si="14"/>
        <v/>
      </c>
    </row>
    <row r="130" spans="12:17" x14ac:dyDescent="0.25">
      <c r="L130" s="25" t="str">
        <f t="shared" ref="L130:L193" si="15">IFERROR(IF(B131/B130-1=-1, "", B131/B130-1), "")</f>
        <v/>
      </c>
      <c r="M130" s="25" t="str">
        <f t="shared" ref="M130:M193" si="16">IFERROR(IF(C131/C130-1=-1, "", C131/C130-1), "")</f>
        <v/>
      </c>
      <c r="N130" s="25" t="str">
        <f t="shared" ref="N130:N193" si="17">IFERROR(IF(D131/D130-1=-1, "", D131/D130-1), "")</f>
        <v/>
      </c>
      <c r="O130" s="25" t="str">
        <f t="shared" ref="O130:O193" si="18">IFERROR(IF(E131/E130-1=-1, "", E131/E130-1), "")</f>
        <v/>
      </c>
      <c r="P130" s="25" t="str">
        <f t="shared" ref="P130:P193" si="19">IFERROR(IF(F131/F130-1=-1, "", F131/F130-1), "")</f>
        <v/>
      </c>
      <c r="Q130" s="25" t="str">
        <f t="shared" ref="Q130:Q193" si="20">IFERROR(IF(G131/G130-1=-1, "", G131/G130-1), "")</f>
        <v/>
      </c>
    </row>
    <row r="131" spans="12:17" x14ac:dyDescent="0.25">
      <c r="L131" s="25" t="str">
        <f t="shared" si="15"/>
        <v/>
      </c>
      <c r="M131" s="25" t="str">
        <f t="shared" si="16"/>
        <v/>
      </c>
      <c r="N131" s="25" t="str">
        <f t="shared" si="17"/>
        <v/>
      </c>
      <c r="O131" s="25" t="str">
        <f t="shared" si="18"/>
        <v/>
      </c>
      <c r="P131" s="25" t="str">
        <f t="shared" si="19"/>
        <v/>
      </c>
      <c r="Q131" s="25" t="str">
        <f t="shared" si="20"/>
        <v/>
      </c>
    </row>
    <row r="132" spans="12:17" x14ac:dyDescent="0.25">
      <c r="L132" s="25" t="str">
        <f t="shared" si="15"/>
        <v/>
      </c>
      <c r="M132" s="25" t="str">
        <f t="shared" si="16"/>
        <v/>
      </c>
      <c r="N132" s="25" t="str">
        <f t="shared" si="17"/>
        <v/>
      </c>
      <c r="O132" s="25" t="str">
        <f t="shared" si="18"/>
        <v/>
      </c>
      <c r="P132" s="25" t="str">
        <f t="shared" si="19"/>
        <v/>
      </c>
      <c r="Q132" s="25" t="str">
        <f t="shared" si="20"/>
        <v/>
      </c>
    </row>
    <row r="133" spans="12:17" x14ac:dyDescent="0.25">
      <c r="L133" s="25" t="str">
        <f t="shared" si="15"/>
        <v/>
      </c>
      <c r="M133" s="25" t="str">
        <f t="shared" si="16"/>
        <v/>
      </c>
      <c r="N133" s="25" t="str">
        <f t="shared" si="17"/>
        <v/>
      </c>
      <c r="O133" s="25" t="str">
        <f t="shared" si="18"/>
        <v/>
      </c>
      <c r="P133" s="25" t="str">
        <f t="shared" si="19"/>
        <v/>
      </c>
      <c r="Q133" s="25" t="str">
        <f t="shared" si="20"/>
        <v/>
      </c>
    </row>
    <row r="134" spans="12:17" x14ac:dyDescent="0.25">
      <c r="L134" s="25" t="str">
        <f t="shared" si="15"/>
        <v/>
      </c>
      <c r="M134" s="25" t="str">
        <f t="shared" si="16"/>
        <v/>
      </c>
      <c r="N134" s="25" t="str">
        <f t="shared" si="17"/>
        <v/>
      </c>
      <c r="O134" s="25" t="str">
        <f t="shared" si="18"/>
        <v/>
      </c>
      <c r="P134" s="25" t="str">
        <f t="shared" si="19"/>
        <v/>
      </c>
      <c r="Q134" s="25" t="str">
        <f t="shared" si="20"/>
        <v/>
      </c>
    </row>
    <row r="135" spans="12:17" x14ac:dyDescent="0.25">
      <c r="L135" s="25" t="str">
        <f t="shared" si="15"/>
        <v/>
      </c>
      <c r="M135" s="25" t="str">
        <f t="shared" si="16"/>
        <v/>
      </c>
      <c r="N135" s="25" t="str">
        <f t="shared" si="17"/>
        <v/>
      </c>
      <c r="O135" s="25" t="str">
        <f t="shared" si="18"/>
        <v/>
      </c>
      <c r="P135" s="25" t="str">
        <f t="shared" si="19"/>
        <v/>
      </c>
      <c r="Q135" s="25" t="str">
        <f t="shared" si="20"/>
        <v/>
      </c>
    </row>
    <row r="136" spans="12:17" x14ac:dyDescent="0.25">
      <c r="L136" s="25" t="str">
        <f t="shared" si="15"/>
        <v/>
      </c>
      <c r="M136" s="25" t="str">
        <f t="shared" si="16"/>
        <v/>
      </c>
      <c r="N136" s="25" t="str">
        <f t="shared" si="17"/>
        <v/>
      </c>
      <c r="O136" s="25" t="str">
        <f t="shared" si="18"/>
        <v/>
      </c>
      <c r="P136" s="25" t="str">
        <f t="shared" si="19"/>
        <v/>
      </c>
      <c r="Q136" s="25" t="str">
        <f t="shared" si="20"/>
        <v/>
      </c>
    </row>
    <row r="137" spans="12:17" x14ac:dyDescent="0.25">
      <c r="L137" s="25" t="str">
        <f t="shared" si="15"/>
        <v/>
      </c>
      <c r="M137" s="25" t="str">
        <f t="shared" si="16"/>
        <v/>
      </c>
      <c r="N137" s="25" t="str">
        <f t="shared" si="17"/>
        <v/>
      </c>
      <c r="O137" s="25" t="str">
        <f t="shared" si="18"/>
        <v/>
      </c>
      <c r="P137" s="25" t="str">
        <f t="shared" si="19"/>
        <v/>
      </c>
      <c r="Q137" s="25" t="str">
        <f t="shared" si="20"/>
        <v/>
      </c>
    </row>
    <row r="138" spans="12:17" x14ac:dyDescent="0.25">
      <c r="L138" s="25" t="str">
        <f t="shared" si="15"/>
        <v/>
      </c>
      <c r="M138" s="25" t="str">
        <f t="shared" si="16"/>
        <v/>
      </c>
      <c r="N138" s="25" t="str">
        <f t="shared" si="17"/>
        <v/>
      </c>
      <c r="O138" s="25" t="str">
        <f t="shared" si="18"/>
        <v/>
      </c>
      <c r="P138" s="25" t="str">
        <f t="shared" si="19"/>
        <v/>
      </c>
      <c r="Q138" s="25" t="str">
        <f t="shared" si="20"/>
        <v/>
      </c>
    </row>
    <row r="139" spans="12:17" x14ac:dyDescent="0.25">
      <c r="L139" s="25" t="str">
        <f t="shared" si="15"/>
        <v/>
      </c>
      <c r="M139" s="25" t="str">
        <f t="shared" si="16"/>
        <v/>
      </c>
      <c r="N139" s="25" t="str">
        <f t="shared" si="17"/>
        <v/>
      </c>
      <c r="O139" s="25" t="str">
        <f t="shared" si="18"/>
        <v/>
      </c>
      <c r="P139" s="25" t="str">
        <f t="shared" si="19"/>
        <v/>
      </c>
      <c r="Q139" s="25" t="str">
        <f t="shared" si="20"/>
        <v/>
      </c>
    </row>
    <row r="140" spans="12:17" x14ac:dyDescent="0.25">
      <c r="L140" s="25" t="str">
        <f t="shared" si="15"/>
        <v/>
      </c>
      <c r="M140" s="25" t="str">
        <f t="shared" si="16"/>
        <v/>
      </c>
      <c r="N140" s="25" t="str">
        <f t="shared" si="17"/>
        <v/>
      </c>
      <c r="O140" s="25" t="str">
        <f t="shared" si="18"/>
        <v/>
      </c>
      <c r="P140" s="25" t="str">
        <f t="shared" si="19"/>
        <v/>
      </c>
      <c r="Q140" s="25" t="str">
        <f t="shared" si="20"/>
        <v/>
      </c>
    </row>
    <row r="141" spans="12:17" x14ac:dyDescent="0.25">
      <c r="L141" s="25" t="str">
        <f t="shared" si="15"/>
        <v/>
      </c>
      <c r="M141" s="25" t="str">
        <f t="shared" si="16"/>
        <v/>
      </c>
      <c r="N141" s="25" t="str">
        <f t="shared" si="17"/>
        <v/>
      </c>
      <c r="O141" s="25" t="str">
        <f t="shared" si="18"/>
        <v/>
      </c>
      <c r="P141" s="25" t="str">
        <f t="shared" si="19"/>
        <v/>
      </c>
      <c r="Q141" s="25" t="str">
        <f t="shared" si="20"/>
        <v/>
      </c>
    </row>
    <row r="142" spans="12:17" x14ac:dyDescent="0.25">
      <c r="L142" s="25" t="str">
        <f t="shared" si="15"/>
        <v/>
      </c>
      <c r="M142" s="25" t="str">
        <f t="shared" si="16"/>
        <v/>
      </c>
      <c r="N142" s="25" t="str">
        <f t="shared" si="17"/>
        <v/>
      </c>
      <c r="O142" s="25" t="str">
        <f t="shared" si="18"/>
        <v/>
      </c>
      <c r="P142" s="25" t="str">
        <f t="shared" si="19"/>
        <v/>
      </c>
      <c r="Q142" s="25" t="str">
        <f t="shared" si="20"/>
        <v/>
      </c>
    </row>
    <row r="143" spans="12:17" x14ac:dyDescent="0.25">
      <c r="L143" s="25" t="str">
        <f t="shared" si="15"/>
        <v/>
      </c>
      <c r="M143" s="25" t="str">
        <f t="shared" si="16"/>
        <v/>
      </c>
      <c r="N143" s="25" t="str">
        <f t="shared" si="17"/>
        <v/>
      </c>
      <c r="O143" s="25" t="str">
        <f t="shared" si="18"/>
        <v/>
      </c>
      <c r="P143" s="25" t="str">
        <f t="shared" si="19"/>
        <v/>
      </c>
      <c r="Q143" s="25" t="str">
        <f t="shared" si="20"/>
        <v/>
      </c>
    </row>
    <row r="144" spans="12:17" x14ac:dyDescent="0.25">
      <c r="L144" s="25" t="str">
        <f t="shared" si="15"/>
        <v/>
      </c>
      <c r="M144" s="25" t="str">
        <f t="shared" si="16"/>
        <v/>
      </c>
      <c r="N144" s="25" t="str">
        <f t="shared" si="17"/>
        <v/>
      </c>
      <c r="O144" s="25" t="str">
        <f t="shared" si="18"/>
        <v/>
      </c>
      <c r="P144" s="25" t="str">
        <f t="shared" si="19"/>
        <v/>
      </c>
      <c r="Q144" s="25" t="str">
        <f t="shared" si="20"/>
        <v/>
      </c>
    </row>
    <row r="145" spans="12:17" x14ac:dyDescent="0.25">
      <c r="L145" s="25" t="str">
        <f t="shared" si="15"/>
        <v/>
      </c>
      <c r="M145" s="25" t="str">
        <f t="shared" si="16"/>
        <v/>
      </c>
      <c r="N145" s="25" t="str">
        <f t="shared" si="17"/>
        <v/>
      </c>
      <c r="O145" s="25" t="str">
        <f t="shared" si="18"/>
        <v/>
      </c>
      <c r="P145" s="25" t="str">
        <f t="shared" si="19"/>
        <v/>
      </c>
      <c r="Q145" s="25" t="str">
        <f t="shared" si="20"/>
        <v/>
      </c>
    </row>
    <row r="146" spans="12:17" x14ac:dyDescent="0.25">
      <c r="L146" s="25" t="str">
        <f t="shared" si="15"/>
        <v/>
      </c>
      <c r="M146" s="25" t="str">
        <f t="shared" si="16"/>
        <v/>
      </c>
      <c r="N146" s="25" t="str">
        <f t="shared" si="17"/>
        <v/>
      </c>
      <c r="O146" s="25" t="str">
        <f t="shared" si="18"/>
        <v/>
      </c>
      <c r="P146" s="25" t="str">
        <f t="shared" si="19"/>
        <v/>
      </c>
      <c r="Q146" s="25" t="str">
        <f t="shared" si="20"/>
        <v/>
      </c>
    </row>
    <row r="147" spans="12:17" x14ac:dyDescent="0.25">
      <c r="L147" s="25" t="str">
        <f t="shared" si="15"/>
        <v/>
      </c>
      <c r="M147" s="25" t="str">
        <f t="shared" si="16"/>
        <v/>
      </c>
      <c r="N147" s="25" t="str">
        <f t="shared" si="17"/>
        <v/>
      </c>
      <c r="O147" s="25" t="str">
        <f t="shared" si="18"/>
        <v/>
      </c>
      <c r="P147" s="25" t="str">
        <f t="shared" si="19"/>
        <v/>
      </c>
      <c r="Q147" s="25" t="str">
        <f t="shared" si="20"/>
        <v/>
      </c>
    </row>
    <row r="148" spans="12:17" x14ac:dyDescent="0.25">
      <c r="L148" s="25" t="str">
        <f t="shared" si="15"/>
        <v/>
      </c>
      <c r="M148" s="25" t="str">
        <f t="shared" si="16"/>
        <v/>
      </c>
      <c r="N148" s="25" t="str">
        <f t="shared" si="17"/>
        <v/>
      </c>
      <c r="O148" s="25" t="str">
        <f t="shared" si="18"/>
        <v/>
      </c>
      <c r="P148" s="25" t="str">
        <f t="shared" si="19"/>
        <v/>
      </c>
      <c r="Q148" s="25" t="str">
        <f t="shared" si="20"/>
        <v/>
      </c>
    </row>
    <row r="149" spans="12:17" x14ac:dyDescent="0.25">
      <c r="L149" s="25" t="str">
        <f t="shared" si="15"/>
        <v/>
      </c>
      <c r="M149" s="25" t="str">
        <f t="shared" si="16"/>
        <v/>
      </c>
      <c r="N149" s="25" t="str">
        <f t="shared" si="17"/>
        <v/>
      </c>
      <c r="O149" s="25" t="str">
        <f t="shared" si="18"/>
        <v/>
      </c>
      <c r="P149" s="25" t="str">
        <f t="shared" si="19"/>
        <v/>
      </c>
      <c r="Q149" s="25" t="str">
        <f t="shared" si="20"/>
        <v/>
      </c>
    </row>
    <row r="150" spans="12:17" x14ac:dyDescent="0.25">
      <c r="L150" s="25" t="str">
        <f t="shared" si="15"/>
        <v/>
      </c>
      <c r="M150" s="25" t="str">
        <f t="shared" si="16"/>
        <v/>
      </c>
      <c r="N150" s="25" t="str">
        <f t="shared" si="17"/>
        <v/>
      </c>
      <c r="O150" s="25" t="str">
        <f t="shared" si="18"/>
        <v/>
      </c>
      <c r="P150" s="25" t="str">
        <f t="shared" si="19"/>
        <v/>
      </c>
      <c r="Q150" s="25" t="str">
        <f t="shared" si="20"/>
        <v/>
      </c>
    </row>
    <row r="151" spans="12:17" x14ac:dyDescent="0.25">
      <c r="L151" s="25" t="str">
        <f t="shared" si="15"/>
        <v/>
      </c>
      <c r="M151" s="25" t="str">
        <f t="shared" si="16"/>
        <v/>
      </c>
      <c r="N151" s="25" t="str">
        <f t="shared" si="17"/>
        <v/>
      </c>
      <c r="O151" s="25" t="str">
        <f t="shared" si="18"/>
        <v/>
      </c>
      <c r="P151" s="25" t="str">
        <f t="shared" si="19"/>
        <v/>
      </c>
      <c r="Q151" s="25" t="str">
        <f t="shared" si="20"/>
        <v/>
      </c>
    </row>
    <row r="152" spans="12:17" x14ac:dyDescent="0.25">
      <c r="L152" s="25" t="str">
        <f t="shared" si="15"/>
        <v/>
      </c>
      <c r="M152" s="25" t="str">
        <f t="shared" si="16"/>
        <v/>
      </c>
      <c r="N152" s="25" t="str">
        <f t="shared" si="17"/>
        <v/>
      </c>
      <c r="O152" s="25" t="str">
        <f t="shared" si="18"/>
        <v/>
      </c>
      <c r="P152" s="25" t="str">
        <f t="shared" si="19"/>
        <v/>
      </c>
      <c r="Q152" s="25" t="str">
        <f t="shared" si="20"/>
        <v/>
      </c>
    </row>
    <row r="153" spans="12:17" x14ac:dyDescent="0.25">
      <c r="L153" s="25" t="str">
        <f t="shared" si="15"/>
        <v/>
      </c>
      <c r="M153" s="25" t="str">
        <f t="shared" si="16"/>
        <v/>
      </c>
      <c r="N153" s="25" t="str">
        <f t="shared" si="17"/>
        <v/>
      </c>
      <c r="O153" s="25" t="str">
        <f t="shared" si="18"/>
        <v/>
      </c>
      <c r="P153" s="25" t="str">
        <f t="shared" si="19"/>
        <v/>
      </c>
      <c r="Q153" s="25" t="str">
        <f t="shared" si="20"/>
        <v/>
      </c>
    </row>
    <row r="154" spans="12:17" x14ac:dyDescent="0.25">
      <c r="L154" s="25" t="str">
        <f t="shared" si="15"/>
        <v/>
      </c>
      <c r="M154" s="25" t="str">
        <f t="shared" si="16"/>
        <v/>
      </c>
      <c r="N154" s="25" t="str">
        <f t="shared" si="17"/>
        <v/>
      </c>
      <c r="O154" s="25" t="str">
        <f t="shared" si="18"/>
        <v/>
      </c>
      <c r="P154" s="25" t="str">
        <f t="shared" si="19"/>
        <v/>
      </c>
      <c r="Q154" s="25" t="str">
        <f t="shared" si="20"/>
        <v/>
      </c>
    </row>
    <row r="155" spans="12:17" x14ac:dyDescent="0.25">
      <c r="L155" s="25" t="str">
        <f t="shared" si="15"/>
        <v/>
      </c>
      <c r="M155" s="25" t="str">
        <f t="shared" si="16"/>
        <v/>
      </c>
      <c r="N155" s="25" t="str">
        <f t="shared" si="17"/>
        <v/>
      </c>
      <c r="O155" s="25" t="str">
        <f t="shared" si="18"/>
        <v/>
      </c>
      <c r="P155" s="25" t="str">
        <f t="shared" si="19"/>
        <v/>
      </c>
      <c r="Q155" s="25" t="str">
        <f t="shared" si="20"/>
        <v/>
      </c>
    </row>
    <row r="156" spans="12:17" x14ac:dyDescent="0.25">
      <c r="L156" s="25" t="str">
        <f t="shared" si="15"/>
        <v/>
      </c>
      <c r="M156" s="25" t="str">
        <f t="shared" si="16"/>
        <v/>
      </c>
      <c r="N156" s="25" t="str">
        <f t="shared" si="17"/>
        <v/>
      </c>
      <c r="O156" s="25" t="str">
        <f t="shared" si="18"/>
        <v/>
      </c>
      <c r="P156" s="25" t="str">
        <f t="shared" si="19"/>
        <v/>
      </c>
      <c r="Q156" s="25" t="str">
        <f t="shared" si="20"/>
        <v/>
      </c>
    </row>
    <row r="157" spans="12:17" x14ac:dyDescent="0.25">
      <c r="L157" s="25" t="str">
        <f t="shared" si="15"/>
        <v/>
      </c>
      <c r="M157" s="25" t="str">
        <f t="shared" si="16"/>
        <v/>
      </c>
      <c r="N157" s="25" t="str">
        <f t="shared" si="17"/>
        <v/>
      </c>
      <c r="O157" s="25" t="str">
        <f t="shared" si="18"/>
        <v/>
      </c>
      <c r="P157" s="25" t="str">
        <f t="shared" si="19"/>
        <v/>
      </c>
      <c r="Q157" s="25" t="str">
        <f t="shared" si="20"/>
        <v/>
      </c>
    </row>
    <row r="158" spans="12:17" x14ac:dyDescent="0.25">
      <c r="L158" s="25" t="str">
        <f t="shared" si="15"/>
        <v/>
      </c>
      <c r="M158" s="25" t="str">
        <f t="shared" si="16"/>
        <v/>
      </c>
      <c r="N158" s="25" t="str">
        <f t="shared" si="17"/>
        <v/>
      </c>
      <c r="O158" s="25" t="str">
        <f t="shared" si="18"/>
        <v/>
      </c>
      <c r="P158" s="25" t="str">
        <f t="shared" si="19"/>
        <v/>
      </c>
      <c r="Q158" s="25" t="str">
        <f t="shared" si="20"/>
        <v/>
      </c>
    </row>
    <row r="159" spans="12:17" x14ac:dyDescent="0.25">
      <c r="L159" s="25" t="str">
        <f t="shared" si="15"/>
        <v/>
      </c>
      <c r="M159" s="25" t="str">
        <f t="shared" si="16"/>
        <v/>
      </c>
      <c r="N159" s="25" t="str">
        <f t="shared" si="17"/>
        <v/>
      </c>
      <c r="O159" s="25" t="str">
        <f t="shared" si="18"/>
        <v/>
      </c>
      <c r="P159" s="25" t="str">
        <f t="shared" si="19"/>
        <v/>
      </c>
      <c r="Q159" s="25" t="str">
        <f t="shared" si="20"/>
        <v/>
      </c>
    </row>
    <row r="160" spans="12:17" x14ac:dyDescent="0.25">
      <c r="L160" s="25" t="str">
        <f t="shared" si="15"/>
        <v/>
      </c>
      <c r="M160" s="25" t="str">
        <f t="shared" si="16"/>
        <v/>
      </c>
      <c r="N160" s="25" t="str">
        <f t="shared" si="17"/>
        <v/>
      </c>
      <c r="O160" s="25" t="str">
        <f t="shared" si="18"/>
        <v/>
      </c>
      <c r="P160" s="25" t="str">
        <f t="shared" si="19"/>
        <v/>
      </c>
      <c r="Q160" s="25" t="str">
        <f t="shared" si="20"/>
        <v/>
      </c>
    </row>
    <row r="161" spans="12:17" x14ac:dyDescent="0.25">
      <c r="L161" s="25" t="str">
        <f t="shared" si="15"/>
        <v/>
      </c>
      <c r="M161" s="25" t="str">
        <f t="shared" si="16"/>
        <v/>
      </c>
      <c r="N161" s="25" t="str">
        <f t="shared" si="17"/>
        <v/>
      </c>
      <c r="O161" s="25" t="str">
        <f t="shared" si="18"/>
        <v/>
      </c>
      <c r="P161" s="25" t="str">
        <f t="shared" si="19"/>
        <v/>
      </c>
      <c r="Q161" s="25" t="str">
        <f t="shared" si="20"/>
        <v/>
      </c>
    </row>
    <row r="162" spans="12:17" x14ac:dyDescent="0.25">
      <c r="L162" s="25" t="str">
        <f t="shared" si="15"/>
        <v/>
      </c>
      <c r="M162" s="25" t="str">
        <f t="shared" si="16"/>
        <v/>
      </c>
      <c r="N162" s="25" t="str">
        <f t="shared" si="17"/>
        <v/>
      </c>
      <c r="O162" s="25" t="str">
        <f t="shared" si="18"/>
        <v/>
      </c>
      <c r="P162" s="25" t="str">
        <f t="shared" si="19"/>
        <v/>
      </c>
      <c r="Q162" s="25" t="str">
        <f t="shared" si="20"/>
        <v/>
      </c>
    </row>
    <row r="163" spans="12:17" x14ac:dyDescent="0.25">
      <c r="L163" s="25" t="str">
        <f t="shared" si="15"/>
        <v/>
      </c>
      <c r="M163" s="25" t="str">
        <f t="shared" si="16"/>
        <v/>
      </c>
      <c r="N163" s="25" t="str">
        <f t="shared" si="17"/>
        <v/>
      </c>
      <c r="O163" s="25" t="str">
        <f t="shared" si="18"/>
        <v/>
      </c>
      <c r="P163" s="25" t="str">
        <f t="shared" si="19"/>
        <v/>
      </c>
      <c r="Q163" s="25" t="str">
        <f t="shared" si="20"/>
        <v/>
      </c>
    </row>
    <row r="164" spans="12:17" x14ac:dyDescent="0.25">
      <c r="L164" s="25" t="str">
        <f t="shared" si="15"/>
        <v/>
      </c>
      <c r="M164" s="25" t="str">
        <f t="shared" si="16"/>
        <v/>
      </c>
      <c r="N164" s="25" t="str">
        <f t="shared" si="17"/>
        <v/>
      </c>
      <c r="O164" s="25" t="str">
        <f t="shared" si="18"/>
        <v/>
      </c>
      <c r="P164" s="25" t="str">
        <f t="shared" si="19"/>
        <v/>
      </c>
      <c r="Q164" s="25" t="str">
        <f t="shared" si="20"/>
        <v/>
      </c>
    </row>
    <row r="165" spans="12:17" x14ac:dyDescent="0.25">
      <c r="L165" s="25" t="str">
        <f t="shared" si="15"/>
        <v/>
      </c>
      <c r="M165" s="25" t="str">
        <f t="shared" si="16"/>
        <v/>
      </c>
      <c r="N165" s="25" t="str">
        <f t="shared" si="17"/>
        <v/>
      </c>
      <c r="O165" s="25" t="str">
        <f t="shared" si="18"/>
        <v/>
      </c>
      <c r="P165" s="25" t="str">
        <f t="shared" si="19"/>
        <v/>
      </c>
      <c r="Q165" s="25" t="str">
        <f t="shared" si="20"/>
        <v/>
      </c>
    </row>
    <row r="166" spans="12:17" x14ac:dyDescent="0.25">
      <c r="L166" s="25" t="str">
        <f t="shared" si="15"/>
        <v/>
      </c>
      <c r="M166" s="25" t="str">
        <f t="shared" si="16"/>
        <v/>
      </c>
      <c r="N166" s="25" t="str">
        <f t="shared" si="17"/>
        <v/>
      </c>
      <c r="O166" s="25" t="str">
        <f t="shared" si="18"/>
        <v/>
      </c>
      <c r="P166" s="25" t="str">
        <f t="shared" si="19"/>
        <v/>
      </c>
      <c r="Q166" s="25" t="str">
        <f t="shared" si="20"/>
        <v/>
      </c>
    </row>
    <row r="167" spans="12:17" x14ac:dyDescent="0.25">
      <c r="L167" s="25" t="str">
        <f t="shared" si="15"/>
        <v/>
      </c>
      <c r="M167" s="25" t="str">
        <f t="shared" si="16"/>
        <v/>
      </c>
      <c r="N167" s="25" t="str">
        <f t="shared" si="17"/>
        <v/>
      </c>
      <c r="O167" s="25" t="str">
        <f t="shared" si="18"/>
        <v/>
      </c>
      <c r="P167" s="25" t="str">
        <f t="shared" si="19"/>
        <v/>
      </c>
      <c r="Q167" s="25" t="str">
        <f t="shared" si="20"/>
        <v/>
      </c>
    </row>
    <row r="168" spans="12:17" x14ac:dyDescent="0.25">
      <c r="L168" s="25" t="str">
        <f t="shared" si="15"/>
        <v/>
      </c>
      <c r="M168" s="25" t="str">
        <f t="shared" si="16"/>
        <v/>
      </c>
      <c r="N168" s="25" t="str">
        <f t="shared" si="17"/>
        <v/>
      </c>
      <c r="O168" s="25" t="str">
        <f t="shared" si="18"/>
        <v/>
      </c>
      <c r="P168" s="25" t="str">
        <f t="shared" si="19"/>
        <v/>
      </c>
      <c r="Q168" s="25" t="str">
        <f t="shared" si="20"/>
        <v/>
      </c>
    </row>
    <row r="169" spans="12:17" x14ac:dyDescent="0.25">
      <c r="L169" s="25" t="str">
        <f t="shared" si="15"/>
        <v/>
      </c>
      <c r="M169" s="25" t="str">
        <f t="shared" si="16"/>
        <v/>
      </c>
      <c r="N169" s="25" t="str">
        <f t="shared" si="17"/>
        <v/>
      </c>
      <c r="O169" s="25" t="str">
        <f t="shared" si="18"/>
        <v/>
      </c>
      <c r="P169" s="25" t="str">
        <f t="shared" si="19"/>
        <v/>
      </c>
      <c r="Q169" s="25" t="str">
        <f t="shared" si="20"/>
        <v/>
      </c>
    </row>
    <row r="170" spans="12:17" x14ac:dyDescent="0.25">
      <c r="L170" s="25" t="str">
        <f t="shared" si="15"/>
        <v/>
      </c>
      <c r="M170" s="25" t="str">
        <f t="shared" si="16"/>
        <v/>
      </c>
      <c r="N170" s="25" t="str">
        <f t="shared" si="17"/>
        <v/>
      </c>
      <c r="O170" s="25" t="str">
        <f t="shared" si="18"/>
        <v/>
      </c>
      <c r="P170" s="25" t="str">
        <f t="shared" si="19"/>
        <v/>
      </c>
      <c r="Q170" s="25" t="str">
        <f t="shared" si="20"/>
        <v/>
      </c>
    </row>
    <row r="171" spans="12:17" x14ac:dyDescent="0.25">
      <c r="L171" s="25" t="str">
        <f t="shared" si="15"/>
        <v/>
      </c>
      <c r="M171" s="25" t="str">
        <f t="shared" si="16"/>
        <v/>
      </c>
      <c r="N171" s="25" t="str">
        <f t="shared" si="17"/>
        <v/>
      </c>
      <c r="O171" s="25" t="str">
        <f t="shared" si="18"/>
        <v/>
      </c>
      <c r="P171" s="25" t="str">
        <f t="shared" si="19"/>
        <v/>
      </c>
      <c r="Q171" s="25" t="str">
        <f t="shared" si="20"/>
        <v/>
      </c>
    </row>
    <row r="172" spans="12:17" x14ac:dyDescent="0.25">
      <c r="L172" s="25" t="str">
        <f t="shared" si="15"/>
        <v/>
      </c>
      <c r="M172" s="25" t="str">
        <f t="shared" si="16"/>
        <v/>
      </c>
      <c r="N172" s="25" t="str">
        <f t="shared" si="17"/>
        <v/>
      </c>
      <c r="O172" s="25" t="str">
        <f t="shared" si="18"/>
        <v/>
      </c>
      <c r="P172" s="25" t="str">
        <f t="shared" si="19"/>
        <v/>
      </c>
      <c r="Q172" s="25" t="str">
        <f t="shared" si="20"/>
        <v/>
      </c>
    </row>
    <row r="173" spans="12:17" x14ac:dyDescent="0.25">
      <c r="L173" s="25" t="str">
        <f t="shared" si="15"/>
        <v/>
      </c>
      <c r="M173" s="25" t="str">
        <f t="shared" si="16"/>
        <v/>
      </c>
      <c r="N173" s="25" t="str">
        <f t="shared" si="17"/>
        <v/>
      </c>
      <c r="O173" s="25" t="str">
        <f t="shared" si="18"/>
        <v/>
      </c>
      <c r="P173" s="25" t="str">
        <f t="shared" si="19"/>
        <v/>
      </c>
      <c r="Q173" s="25" t="str">
        <f t="shared" si="20"/>
        <v/>
      </c>
    </row>
    <row r="174" spans="12:17" x14ac:dyDescent="0.25">
      <c r="L174" s="25" t="str">
        <f t="shared" si="15"/>
        <v/>
      </c>
      <c r="M174" s="25" t="str">
        <f t="shared" si="16"/>
        <v/>
      </c>
      <c r="N174" s="25" t="str">
        <f t="shared" si="17"/>
        <v/>
      </c>
      <c r="O174" s="25" t="str">
        <f t="shared" si="18"/>
        <v/>
      </c>
      <c r="P174" s="25" t="str">
        <f t="shared" si="19"/>
        <v/>
      </c>
      <c r="Q174" s="25" t="str">
        <f t="shared" si="20"/>
        <v/>
      </c>
    </row>
    <row r="175" spans="12:17" x14ac:dyDescent="0.25">
      <c r="L175" s="25" t="str">
        <f t="shared" si="15"/>
        <v/>
      </c>
      <c r="M175" s="25" t="str">
        <f t="shared" si="16"/>
        <v/>
      </c>
      <c r="N175" s="25" t="str">
        <f t="shared" si="17"/>
        <v/>
      </c>
      <c r="O175" s="25" t="str">
        <f t="shared" si="18"/>
        <v/>
      </c>
      <c r="P175" s="25" t="str">
        <f t="shared" si="19"/>
        <v/>
      </c>
      <c r="Q175" s="25" t="str">
        <f t="shared" si="20"/>
        <v/>
      </c>
    </row>
    <row r="176" spans="12:17" x14ac:dyDescent="0.25">
      <c r="L176" s="25" t="str">
        <f t="shared" si="15"/>
        <v/>
      </c>
      <c r="M176" s="25" t="str">
        <f t="shared" si="16"/>
        <v/>
      </c>
      <c r="N176" s="25" t="str">
        <f t="shared" si="17"/>
        <v/>
      </c>
      <c r="O176" s="25" t="str">
        <f t="shared" si="18"/>
        <v/>
      </c>
      <c r="P176" s="25" t="str">
        <f t="shared" si="19"/>
        <v/>
      </c>
      <c r="Q176" s="25" t="str">
        <f t="shared" si="20"/>
        <v/>
      </c>
    </row>
    <row r="177" spans="12:17" x14ac:dyDescent="0.25">
      <c r="L177" s="25" t="str">
        <f t="shared" si="15"/>
        <v/>
      </c>
      <c r="M177" s="25" t="str">
        <f t="shared" si="16"/>
        <v/>
      </c>
      <c r="N177" s="25" t="str">
        <f t="shared" si="17"/>
        <v/>
      </c>
      <c r="O177" s="25" t="str">
        <f t="shared" si="18"/>
        <v/>
      </c>
      <c r="P177" s="25" t="str">
        <f t="shared" si="19"/>
        <v/>
      </c>
      <c r="Q177" s="25" t="str">
        <f t="shared" si="20"/>
        <v/>
      </c>
    </row>
    <row r="178" spans="12:17" x14ac:dyDescent="0.25">
      <c r="L178" s="25" t="str">
        <f t="shared" si="15"/>
        <v/>
      </c>
      <c r="M178" s="25" t="str">
        <f t="shared" si="16"/>
        <v/>
      </c>
      <c r="N178" s="25" t="str">
        <f t="shared" si="17"/>
        <v/>
      </c>
      <c r="O178" s="25" t="str">
        <f t="shared" si="18"/>
        <v/>
      </c>
      <c r="P178" s="25" t="str">
        <f t="shared" si="19"/>
        <v/>
      </c>
      <c r="Q178" s="25" t="str">
        <f t="shared" si="20"/>
        <v/>
      </c>
    </row>
    <row r="179" spans="12:17" x14ac:dyDescent="0.25">
      <c r="L179" s="25" t="str">
        <f t="shared" si="15"/>
        <v/>
      </c>
      <c r="M179" s="25" t="str">
        <f t="shared" si="16"/>
        <v/>
      </c>
      <c r="N179" s="25" t="str">
        <f t="shared" si="17"/>
        <v/>
      </c>
      <c r="O179" s="25" t="str">
        <f t="shared" si="18"/>
        <v/>
      </c>
      <c r="P179" s="25" t="str">
        <f t="shared" si="19"/>
        <v/>
      </c>
      <c r="Q179" s="25" t="str">
        <f t="shared" si="20"/>
        <v/>
      </c>
    </row>
    <row r="180" spans="12:17" x14ac:dyDescent="0.25">
      <c r="L180" s="25" t="str">
        <f t="shared" si="15"/>
        <v/>
      </c>
      <c r="M180" s="25" t="str">
        <f t="shared" si="16"/>
        <v/>
      </c>
      <c r="N180" s="25" t="str">
        <f t="shared" si="17"/>
        <v/>
      </c>
      <c r="O180" s="25" t="str">
        <f t="shared" si="18"/>
        <v/>
      </c>
      <c r="P180" s="25" t="str">
        <f t="shared" si="19"/>
        <v/>
      </c>
      <c r="Q180" s="25" t="str">
        <f t="shared" si="20"/>
        <v/>
      </c>
    </row>
    <row r="181" spans="12:17" x14ac:dyDescent="0.25">
      <c r="L181" s="25" t="str">
        <f t="shared" si="15"/>
        <v/>
      </c>
      <c r="M181" s="25" t="str">
        <f t="shared" si="16"/>
        <v/>
      </c>
      <c r="N181" s="25" t="str">
        <f t="shared" si="17"/>
        <v/>
      </c>
      <c r="O181" s="25" t="str">
        <f t="shared" si="18"/>
        <v/>
      </c>
      <c r="P181" s="25" t="str">
        <f t="shared" si="19"/>
        <v/>
      </c>
      <c r="Q181" s="25" t="str">
        <f t="shared" si="20"/>
        <v/>
      </c>
    </row>
    <row r="182" spans="12:17" x14ac:dyDescent="0.25">
      <c r="L182" s="25" t="str">
        <f t="shared" si="15"/>
        <v/>
      </c>
      <c r="M182" s="25" t="str">
        <f t="shared" si="16"/>
        <v/>
      </c>
      <c r="N182" s="25" t="str">
        <f t="shared" si="17"/>
        <v/>
      </c>
      <c r="O182" s="25" t="str">
        <f t="shared" si="18"/>
        <v/>
      </c>
      <c r="P182" s="25" t="str">
        <f t="shared" si="19"/>
        <v/>
      </c>
      <c r="Q182" s="25" t="str">
        <f t="shared" si="20"/>
        <v/>
      </c>
    </row>
    <row r="183" spans="12:17" x14ac:dyDescent="0.25">
      <c r="L183" s="25" t="str">
        <f t="shared" si="15"/>
        <v/>
      </c>
      <c r="M183" s="25" t="str">
        <f t="shared" si="16"/>
        <v/>
      </c>
      <c r="N183" s="25" t="str">
        <f t="shared" si="17"/>
        <v/>
      </c>
      <c r="O183" s="25" t="str">
        <f t="shared" si="18"/>
        <v/>
      </c>
      <c r="P183" s="25" t="str">
        <f t="shared" si="19"/>
        <v/>
      </c>
      <c r="Q183" s="25" t="str">
        <f t="shared" si="20"/>
        <v/>
      </c>
    </row>
    <row r="184" spans="12:17" x14ac:dyDescent="0.25">
      <c r="L184" s="25" t="str">
        <f t="shared" si="15"/>
        <v/>
      </c>
      <c r="M184" s="25" t="str">
        <f t="shared" si="16"/>
        <v/>
      </c>
      <c r="N184" s="25" t="str">
        <f t="shared" si="17"/>
        <v/>
      </c>
      <c r="O184" s="25" t="str">
        <f t="shared" si="18"/>
        <v/>
      </c>
      <c r="P184" s="25" t="str">
        <f t="shared" si="19"/>
        <v/>
      </c>
      <c r="Q184" s="25" t="str">
        <f t="shared" si="20"/>
        <v/>
      </c>
    </row>
    <row r="185" spans="12:17" x14ac:dyDescent="0.25">
      <c r="L185" s="25" t="str">
        <f t="shared" si="15"/>
        <v/>
      </c>
      <c r="M185" s="25" t="str">
        <f t="shared" si="16"/>
        <v/>
      </c>
      <c r="N185" s="25" t="str">
        <f t="shared" si="17"/>
        <v/>
      </c>
      <c r="O185" s="25" t="str">
        <f t="shared" si="18"/>
        <v/>
      </c>
      <c r="P185" s="25" t="str">
        <f t="shared" si="19"/>
        <v/>
      </c>
      <c r="Q185" s="25" t="str">
        <f t="shared" si="20"/>
        <v/>
      </c>
    </row>
    <row r="186" spans="12:17" x14ac:dyDescent="0.25">
      <c r="L186" s="25" t="str">
        <f t="shared" si="15"/>
        <v/>
      </c>
      <c r="M186" s="25" t="str">
        <f t="shared" si="16"/>
        <v/>
      </c>
      <c r="N186" s="25" t="str">
        <f t="shared" si="17"/>
        <v/>
      </c>
      <c r="O186" s="25" t="str">
        <f t="shared" si="18"/>
        <v/>
      </c>
      <c r="P186" s="25" t="str">
        <f t="shared" si="19"/>
        <v/>
      </c>
      <c r="Q186" s="25" t="str">
        <f t="shared" si="20"/>
        <v/>
      </c>
    </row>
    <row r="187" spans="12:17" x14ac:dyDescent="0.25">
      <c r="L187" s="25" t="str">
        <f t="shared" si="15"/>
        <v/>
      </c>
      <c r="M187" s="25" t="str">
        <f t="shared" si="16"/>
        <v/>
      </c>
      <c r="N187" s="25" t="str">
        <f t="shared" si="17"/>
        <v/>
      </c>
      <c r="O187" s="25" t="str">
        <f t="shared" si="18"/>
        <v/>
      </c>
      <c r="P187" s="25" t="str">
        <f t="shared" si="19"/>
        <v/>
      </c>
      <c r="Q187" s="25" t="str">
        <f t="shared" si="20"/>
        <v/>
      </c>
    </row>
    <row r="188" spans="12:17" x14ac:dyDescent="0.25">
      <c r="L188" s="25" t="str">
        <f t="shared" si="15"/>
        <v/>
      </c>
      <c r="M188" s="25" t="str">
        <f t="shared" si="16"/>
        <v/>
      </c>
      <c r="N188" s="25" t="str">
        <f t="shared" si="17"/>
        <v/>
      </c>
      <c r="O188" s="25" t="str">
        <f t="shared" si="18"/>
        <v/>
      </c>
      <c r="P188" s="25" t="str">
        <f t="shared" si="19"/>
        <v/>
      </c>
      <c r="Q188" s="25" t="str">
        <f t="shared" si="20"/>
        <v/>
      </c>
    </row>
    <row r="189" spans="12:17" x14ac:dyDescent="0.25">
      <c r="L189" s="25" t="str">
        <f t="shared" si="15"/>
        <v/>
      </c>
      <c r="M189" s="25" t="str">
        <f t="shared" si="16"/>
        <v/>
      </c>
      <c r="N189" s="25" t="str">
        <f t="shared" si="17"/>
        <v/>
      </c>
      <c r="O189" s="25" t="str">
        <f t="shared" si="18"/>
        <v/>
      </c>
      <c r="P189" s="25" t="str">
        <f t="shared" si="19"/>
        <v/>
      </c>
      <c r="Q189" s="25" t="str">
        <f t="shared" si="20"/>
        <v/>
      </c>
    </row>
    <row r="190" spans="12:17" x14ac:dyDescent="0.25">
      <c r="L190" s="25" t="str">
        <f t="shared" si="15"/>
        <v/>
      </c>
      <c r="M190" s="25" t="str">
        <f t="shared" si="16"/>
        <v/>
      </c>
      <c r="N190" s="25" t="str">
        <f t="shared" si="17"/>
        <v/>
      </c>
      <c r="O190" s="25" t="str">
        <f t="shared" si="18"/>
        <v/>
      </c>
      <c r="P190" s="25" t="str">
        <f t="shared" si="19"/>
        <v/>
      </c>
      <c r="Q190" s="25" t="str">
        <f t="shared" si="20"/>
        <v/>
      </c>
    </row>
    <row r="191" spans="12:17" x14ac:dyDescent="0.25">
      <c r="L191" s="25" t="str">
        <f t="shared" si="15"/>
        <v/>
      </c>
      <c r="M191" s="25" t="str">
        <f t="shared" si="16"/>
        <v/>
      </c>
      <c r="N191" s="25" t="str">
        <f t="shared" si="17"/>
        <v/>
      </c>
      <c r="O191" s="25" t="str">
        <f t="shared" si="18"/>
        <v/>
      </c>
      <c r="P191" s="25" t="str">
        <f t="shared" si="19"/>
        <v/>
      </c>
      <c r="Q191" s="25" t="str">
        <f t="shared" si="20"/>
        <v/>
      </c>
    </row>
    <row r="192" spans="12:17" x14ac:dyDescent="0.25">
      <c r="L192" s="25" t="str">
        <f t="shared" si="15"/>
        <v/>
      </c>
      <c r="M192" s="25" t="str">
        <f t="shared" si="16"/>
        <v/>
      </c>
      <c r="N192" s="25" t="str">
        <f t="shared" si="17"/>
        <v/>
      </c>
      <c r="O192" s="25" t="str">
        <f t="shared" si="18"/>
        <v/>
      </c>
      <c r="P192" s="25" t="str">
        <f t="shared" si="19"/>
        <v/>
      </c>
      <c r="Q192" s="25" t="str">
        <f t="shared" si="20"/>
        <v/>
      </c>
    </row>
    <row r="193" spans="12:17" x14ac:dyDescent="0.25">
      <c r="L193" s="25" t="str">
        <f t="shared" si="15"/>
        <v/>
      </c>
      <c r="M193" s="25" t="str">
        <f t="shared" si="16"/>
        <v/>
      </c>
      <c r="N193" s="25" t="str">
        <f t="shared" si="17"/>
        <v/>
      </c>
      <c r="O193" s="25" t="str">
        <f t="shared" si="18"/>
        <v/>
      </c>
      <c r="P193" s="25" t="str">
        <f t="shared" si="19"/>
        <v/>
      </c>
      <c r="Q193" s="25" t="str">
        <f t="shared" si="20"/>
        <v/>
      </c>
    </row>
    <row r="194" spans="12:17" x14ac:dyDescent="0.25">
      <c r="L194" s="25" t="str">
        <f t="shared" ref="L194:L254" si="21">IFERROR(IF(B195/B194-1=-1, "", B195/B194-1), "")</f>
        <v/>
      </c>
      <c r="M194" s="25" t="str">
        <f t="shared" ref="M194:M254" si="22">IFERROR(IF(C195/C194-1=-1, "", C195/C194-1), "")</f>
        <v/>
      </c>
      <c r="N194" s="25" t="str">
        <f t="shared" ref="N194:N254" si="23">IFERROR(IF(D195/D194-1=-1, "", D195/D194-1), "")</f>
        <v/>
      </c>
      <c r="O194" s="25" t="str">
        <f t="shared" ref="O194:O254" si="24">IFERROR(IF(E195/E194-1=-1, "", E195/E194-1), "")</f>
        <v/>
      </c>
      <c r="P194" s="25" t="str">
        <f t="shared" ref="P194:P254" si="25">IFERROR(IF(F195/F194-1=-1, "", F195/F194-1), "")</f>
        <v/>
      </c>
      <c r="Q194" s="25" t="str">
        <f t="shared" ref="Q194:Q254" si="26">IFERROR(IF(G195/G194-1=-1, "", G195/G194-1), "")</f>
        <v/>
      </c>
    </row>
    <row r="195" spans="12:17" x14ac:dyDescent="0.25">
      <c r="L195" s="25" t="str">
        <f t="shared" si="21"/>
        <v/>
      </c>
      <c r="M195" s="25" t="str">
        <f t="shared" si="22"/>
        <v/>
      </c>
      <c r="N195" s="25" t="str">
        <f t="shared" si="23"/>
        <v/>
      </c>
      <c r="O195" s="25" t="str">
        <f t="shared" si="24"/>
        <v/>
      </c>
      <c r="P195" s="25" t="str">
        <f t="shared" si="25"/>
        <v/>
      </c>
      <c r="Q195" s="25" t="str">
        <f t="shared" si="26"/>
        <v/>
      </c>
    </row>
    <row r="196" spans="12:17" x14ac:dyDescent="0.25">
      <c r="L196" s="25" t="str">
        <f t="shared" si="21"/>
        <v/>
      </c>
      <c r="M196" s="25" t="str">
        <f t="shared" si="22"/>
        <v/>
      </c>
      <c r="N196" s="25" t="str">
        <f t="shared" si="23"/>
        <v/>
      </c>
      <c r="O196" s="25" t="str">
        <f t="shared" si="24"/>
        <v/>
      </c>
      <c r="P196" s="25" t="str">
        <f t="shared" si="25"/>
        <v/>
      </c>
      <c r="Q196" s="25" t="str">
        <f t="shared" si="26"/>
        <v/>
      </c>
    </row>
    <row r="197" spans="12:17" x14ac:dyDescent="0.25">
      <c r="L197" s="25" t="str">
        <f t="shared" si="21"/>
        <v/>
      </c>
      <c r="M197" s="25" t="str">
        <f t="shared" si="22"/>
        <v/>
      </c>
      <c r="N197" s="25" t="str">
        <f t="shared" si="23"/>
        <v/>
      </c>
      <c r="O197" s="25" t="str">
        <f t="shared" si="24"/>
        <v/>
      </c>
      <c r="P197" s="25" t="str">
        <f t="shared" si="25"/>
        <v/>
      </c>
      <c r="Q197" s="25" t="str">
        <f t="shared" si="26"/>
        <v/>
      </c>
    </row>
    <row r="198" spans="12:17" x14ac:dyDescent="0.25">
      <c r="L198" s="25" t="str">
        <f t="shared" si="21"/>
        <v/>
      </c>
      <c r="M198" s="25" t="str">
        <f t="shared" si="22"/>
        <v/>
      </c>
      <c r="N198" s="25" t="str">
        <f t="shared" si="23"/>
        <v/>
      </c>
      <c r="O198" s="25" t="str">
        <f t="shared" si="24"/>
        <v/>
      </c>
      <c r="P198" s="25" t="str">
        <f t="shared" si="25"/>
        <v/>
      </c>
      <c r="Q198" s="25" t="str">
        <f t="shared" si="26"/>
        <v/>
      </c>
    </row>
    <row r="199" spans="12:17" x14ac:dyDescent="0.25">
      <c r="L199" s="25" t="str">
        <f t="shared" si="21"/>
        <v/>
      </c>
      <c r="M199" s="25" t="str">
        <f t="shared" si="22"/>
        <v/>
      </c>
      <c r="N199" s="25" t="str">
        <f t="shared" si="23"/>
        <v/>
      </c>
      <c r="O199" s="25" t="str">
        <f t="shared" si="24"/>
        <v/>
      </c>
      <c r="P199" s="25" t="str">
        <f t="shared" si="25"/>
        <v/>
      </c>
      <c r="Q199" s="25" t="str">
        <f t="shared" si="26"/>
        <v/>
      </c>
    </row>
    <row r="200" spans="12:17" x14ac:dyDescent="0.25">
      <c r="L200" s="25" t="str">
        <f t="shared" si="21"/>
        <v/>
      </c>
      <c r="M200" s="25" t="str">
        <f t="shared" si="22"/>
        <v/>
      </c>
      <c r="N200" s="25" t="str">
        <f t="shared" si="23"/>
        <v/>
      </c>
      <c r="O200" s="25" t="str">
        <f t="shared" si="24"/>
        <v/>
      </c>
      <c r="P200" s="25" t="str">
        <f t="shared" si="25"/>
        <v/>
      </c>
      <c r="Q200" s="25" t="str">
        <f t="shared" si="26"/>
        <v/>
      </c>
    </row>
    <row r="201" spans="12:17" x14ac:dyDescent="0.25">
      <c r="L201" s="25" t="str">
        <f t="shared" si="21"/>
        <v/>
      </c>
      <c r="M201" s="25" t="str">
        <f t="shared" si="22"/>
        <v/>
      </c>
      <c r="N201" s="25" t="str">
        <f t="shared" si="23"/>
        <v/>
      </c>
      <c r="O201" s="25" t="str">
        <f t="shared" si="24"/>
        <v/>
      </c>
      <c r="P201" s="25" t="str">
        <f t="shared" si="25"/>
        <v/>
      </c>
      <c r="Q201" s="25" t="str">
        <f t="shared" si="26"/>
        <v/>
      </c>
    </row>
    <row r="202" spans="12:17" x14ac:dyDescent="0.25">
      <c r="L202" s="25" t="str">
        <f t="shared" si="21"/>
        <v/>
      </c>
      <c r="M202" s="25" t="str">
        <f t="shared" si="22"/>
        <v/>
      </c>
      <c r="N202" s="25" t="str">
        <f t="shared" si="23"/>
        <v/>
      </c>
      <c r="O202" s="25" t="str">
        <f t="shared" si="24"/>
        <v/>
      </c>
      <c r="P202" s="25" t="str">
        <f t="shared" si="25"/>
        <v/>
      </c>
      <c r="Q202" s="25" t="str">
        <f t="shared" si="26"/>
        <v/>
      </c>
    </row>
    <row r="203" spans="12:17" x14ac:dyDescent="0.25">
      <c r="L203" s="25" t="str">
        <f t="shared" si="21"/>
        <v/>
      </c>
      <c r="M203" s="25" t="str">
        <f t="shared" si="22"/>
        <v/>
      </c>
      <c r="N203" s="25" t="str">
        <f t="shared" si="23"/>
        <v/>
      </c>
      <c r="O203" s="25" t="str">
        <f t="shared" si="24"/>
        <v/>
      </c>
      <c r="P203" s="25" t="str">
        <f t="shared" si="25"/>
        <v/>
      </c>
      <c r="Q203" s="25" t="str">
        <f t="shared" si="26"/>
        <v/>
      </c>
    </row>
    <row r="204" spans="12:17" x14ac:dyDescent="0.25">
      <c r="L204" s="25" t="str">
        <f t="shared" si="21"/>
        <v/>
      </c>
      <c r="M204" s="25" t="str">
        <f t="shared" si="22"/>
        <v/>
      </c>
      <c r="N204" s="25" t="str">
        <f t="shared" si="23"/>
        <v/>
      </c>
      <c r="O204" s="25" t="str">
        <f t="shared" si="24"/>
        <v/>
      </c>
      <c r="P204" s="25" t="str">
        <f t="shared" si="25"/>
        <v/>
      </c>
      <c r="Q204" s="25" t="str">
        <f t="shared" si="26"/>
        <v/>
      </c>
    </row>
    <row r="205" spans="12:17" x14ac:dyDescent="0.25">
      <c r="L205" s="25" t="str">
        <f t="shared" si="21"/>
        <v/>
      </c>
      <c r="M205" s="25" t="str">
        <f t="shared" si="22"/>
        <v/>
      </c>
      <c r="N205" s="25" t="str">
        <f t="shared" si="23"/>
        <v/>
      </c>
      <c r="O205" s="25" t="str">
        <f t="shared" si="24"/>
        <v/>
      </c>
      <c r="P205" s="25" t="str">
        <f t="shared" si="25"/>
        <v/>
      </c>
      <c r="Q205" s="25" t="str">
        <f t="shared" si="26"/>
        <v/>
      </c>
    </row>
    <row r="206" spans="12:17" x14ac:dyDescent="0.25">
      <c r="L206" s="25" t="str">
        <f t="shared" si="21"/>
        <v/>
      </c>
      <c r="M206" s="25" t="str">
        <f t="shared" si="22"/>
        <v/>
      </c>
      <c r="N206" s="25" t="str">
        <f t="shared" si="23"/>
        <v/>
      </c>
      <c r="O206" s="25" t="str">
        <f t="shared" si="24"/>
        <v/>
      </c>
      <c r="P206" s="25" t="str">
        <f t="shared" si="25"/>
        <v/>
      </c>
      <c r="Q206" s="25" t="str">
        <f t="shared" si="26"/>
        <v/>
      </c>
    </row>
    <row r="207" spans="12:17" x14ac:dyDescent="0.25">
      <c r="L207" s="25" t="str">
        <f t="shared" si="21"/>
        <v/>
      </c>
      <c r="M207" s="25" t="str">
        <f t="shared" si="22"/>
        <v/>
      </c>
      <c r="N207" s="25" t="str">
        <f t="shared" si="23"/>
        <v/>
      </c>
      <c r="O207" s="25" t="str">
        <f t="shared" si="24"/>
        <v/>
      </c>
      <c r="P207" s="25" t="str">
        <f t="shared" si="25"/>
        <v/>
      </c>
      <c r="Q207" s="25" t="str">
        <f t="shared" si="26"/>
        <v/>
      </c>
    </row>
    <row r="208" spans="12:17" x14ac:dyDescent="0.25">
      <c r="L208" s="25" t="str">
        <f t="shared" si="21"/>
        <v/>
      </c>
      <c r="M208" s="25" t="str">
        <f t="shared" si="22"/>
        <v/>
      </c>
      <c r="N208" s="25" t="str">
        <f t="shared" si="23"/>
        <v/>
      </c>
      <c r="O208" s="25" t="str">
        <f t="shared" si="24"/>
        <v/>
      </c>
      <c r="P208" s="25" t="str">
        <f t="shared" si="25"/>
        <v/>
      </c>
      <c r="Q208" s="25" t="str">
        <f t="shared" si="26"/>
        <v/>
      </c>
    </row>
    <row r="209" spans="12:17" x14ac:dyDescent="0.25">
      <c r="L209" s="25" t="str">
        <f t="shared" si="21"/>
        <v/>
      </c>
      <c r="M209" s="25" t="str">
        <f t="shared" si="22"/>
        <v/>
      </c>
      <c r="N209" s="25" t="str">
        <f t="shared" si="23"/>
        <v/>
      </c>
      <c r="O209" s="25" t="str">
        <f t="shared" si="24"/>
        <v/>
      </c>
      <c r="P209" s="25" t="str">
        <f t="shared" si="25"/>
        <v/>
      </c>
      <c r="Q209" s="25" t="str">
        <f t="shared" si="26"/>
        <v/>
      </c>
    </row>
    <row r="210" spans="12:17" x14ac:dyDescent="0.25">
      <c r="L210" s="25" t="str">
        <f t="shared" si="21"/>
        <v/>
      </c>
      <c r="M210" s="25" t="str">
        <f t="shared" si="22"/>
        <v/>
      </c>
      <c r="N210" s="25" t="str">
        <f t="shared" si="23"/>
        <v/>
      </c>
      <c r="O210" s="25" t="str">
        <f t="shared" si="24"/>
        <v/>
      </c>
      <c r="P210" s="25" t="str">
        <f t="shared" si="25"/>
        <v/>
      </c>
      <c r="Q210" s="25" t="str">
        <f t="shared" si="26"/>
        <v/>
      </c>
    </row>
    <row r="211" spans="12:17" x14ac:dyDescent="0.25">
      <c r="L211" s="25" t="str">
        <f t="shared" si="21"/>
        <v/>
      </c>
      <c r="M211" s="25" t="str">
        <f t="shared" si="22"/>
        <v/>
      </c>
      <c r="N211" s="25" t="str">
        <f t="shared" si="23"/>
        <v/>
      </c>
      <c r="O211" s="25" t="str">
        <f t="shared" si="24"/>
        <v/>
      </c>
      <c r="P211" s="25" t="str">
        <f t="shared" si="25"/>
        <v/>
      </c>
      <c r="Q211" s="25" t="str">
        <f t="shared" si="26"/>
        <v/>
      </c>
    </row>
    <row r="212" spans="12:17" x14ac:dyDescent="0.25">
      <c r="L212" s="25" t="str">
        <f t="shared" si="21"/>
        <v/>
      </c>
      <c r="M212" s="25" t="str">
        <f t="shared" si="22"/>
        <v/>
      </c>
      <c r="N212" s="25" t="str">
        <f t="shared" si="23"/>
        <v/>
      </c>
      <c r="O212" s="25" t="str">
        <f t="shared" si="24"/>
        <v/>
      </c>
      <c r="P212" s="25" t="str">
        <f t="shared" si="25"/>
        <v/>
      </c>
      <c r="Q212" s="25" t="str">
        <f t="shared" si="26"/>
        <v/>
      </c>
    </row>
    <row r="213" spans="12:17" x14ac:dyDescent="0.25">
      <c r="L213" s="25" t="str">
        <f t="shared" si="21"/>
        <v/>
      </c>
      <c r="M213" s="25" t="str">
        <f t="shared" si="22"/>
        <v/>
      </c>
      <c r="N213" s="25" t="str">
        <f t="shared" si="23"/>
        <v/>
      </c>
      <c r="O213" s="25" t="str">
        <f t="shared" si="24"/>
        <v/>
      </c>
      <c r="P213" s="25" t="str">
        <f t="shared" si="25"/>
        <v/>
      </c>
      <c r="Q213" s="25" t="str">
        <f t="shared" si="26"/>
        <v/>
      </c>
    </row>
    <row r="214" spans="12:17" x14ac:dyDescent="0.25">
      <c r="L214" s="25" t="str">
        <f t="shared" si="21"/>
        <v/>
      </c>
      <c r="M214" s="25" t="str">
        <f t="shared" si="22"/>
        <v/>
      </c>
      <c r="N214" s="25" t="str">
        <f t="shared" si="23"/>
        <v/>
      </c>
      <c r="O214" s="25" t="str">
        <f t="shared" si="24"/>
        <v/>
      </c>
      <c r="P214" s="25" t="str">
        <f t="shared" si="25"/>
        <v/>
      </c>
      <c r="Q214" s="25" t="str">
        <f t="shared" si="26"/>
        <v/>
      </c>
    </row>
    <row r="215" spans="12:17" x14ac:dyDescent="0.25">
      <c r="L215" s="25" t="str">
        <f t="shared" si="21"/>
        <v/>
      </c>
      <c r="M215" s="25" t="str">
        <f t="shared" si="22"/>
        <v/>
      </c>
      <c r="N215" s="25" t="str">
        <f t="shared" si="23"/>
        <v/>
      </c>
      <c r="O215" s="25" t="str">
        <f t="shared" si="24"/>
        <v/>
      </c>
      <c r="P215" s="25" t="str">
        <f t="shared" si="25"/>
        <v/>
      </c>
      <c r="Q215" s="25" t="str">
        <f t="shared" si="26"/>
        <v/>
      </c>
    </row>
    <row r="216" spans="12:17" x14ac:dyDescent="0.25">
      <c r="L216" s="25" t="str">
        <f t="shared" si="21"/>
        <v/>
      </c>
      <c r="M216" s="25" t="str">
        <f t="shared" si="22"/>
        <v/>
      </c>
      <c r="N216" s="25" t="str">
        <f t="shared" si="23"/>
        <v/>
      </c>
      <c r="O216" s="25" t="str">
        <f t="shared" si="24"/>
        <v/>
      </c>
      <c r="P216" s="25" t="str">
        <f t="shared" si="25"/>
        <v/>
      </c>
      <c r="Q216" s="25" t="str">
        <f t="shared" si="26"/>
        <v/>
      </c>
    </row>
    <row r="217" spans="12:17" x14ac:dyDescent="0.25">
      <c r="L217" s="25" t="str">
        <f t="shared" si="21"/>
        <v/>
      </c>
      <c r="M217" s="25" t="str">
        <f t="shared" si="22"/>
        <v/>
      </c>
      <c r="N217" s="25" t="str">
        <f t="shared" si="23"/>
        <v/>
      </c>
      <c r="O217" s="25" t="str">
        <f t="shared" si="24"/>
        <v/>
      </c>
      <c r="P217" s="25" t="str">
        <f t="shared" si="25"/>
        <v/>
      </c>
      <c r="Q217" s="25" t="str">
        <f t="shared" si="26"/>
        <v/>
      </c>
    </row>
    <row r="218" spans="12:17" x14ac:dyDescent="0.25">
      <c r="L218" s="25" t="str">
        <f t="shared" si="21"/>
        <v/>
      </c>
      <c r="M218" s="25" t="str">
        <f t="shared" si="22"/>
        <v/>
      </c>
      <c r="N218" s="25" t="str">
        <f t="shared" si="23"/>
        <v/>
      </c>
      <c r="O218" s="25" t="str">
        <f t="shared" si="24"/>
        <v/>
      </c>
      <c r="P218" s="25" t="str">
        <f t="shared" si="25"/>
        <v/>
      </c>
      <c r="Q218" s="25" t="str">
        <f t="shared" si="26"/>
        <v/>
      </c>
    </row>
    <row r="219" spans="12:17" x14ac:dyDescent="0.25">
      <c r="L219" s="25" t="str">
        <f t="shared" si="21"/>
        <v/>
      </c>
      <c r="M219" s="25" t="str">
        <f t="shared" si="22"/>
        <v/>
      </c>
      <c r="N219" s="25" t="str">
        <f t="shared" si="23"/>
        <v/>
      </c>
      <c r="O219" s="25" t="str">
        <f t="shared" si="24"/>
        <v/>
      </c>
      <c r="P219" s="25" t="str">
        <f t="shared" si="25"/>
        <v/>
      </c>
      <c r="Q219" s="25" t="str">
        <f t="shared" si="26"/>
        <v/>
      </c>
    </row>
    <row r="220" spans="12:17" x14ac:dyDescent="0.25">
      <c r="L220" s="25" t="str">
        <f t="shared" si="21"/>
        <v/>
      </c>
      <c r="M220" s="25" t="str">
        <f t="shared" si="22"/>
        <v/>
      </c>
      <c r="N220" s="25" t="str">
        <f t="shared" si="23"/>
        <v/>
      </c>
      <c r="O220" s="25" t="str">
        <f t="shared" si="24"/>
        <v/>
      </c>
      <c r="P220" s="25" t="str">
        <f t="shared" si="25"/>
        <v/>
      </c>
      <c r="Q220" s="25" t="str">
        <f t="shared" si="26"/>
        <v/>
      </c>
    </row>
    <row r="221" spans="12:17" x14ac:dyDescent="0.25">
      <c r="L221" s="25" t="str">
        <f t="shared" si="21"/>
        <v/>
      </c>
      <c r="M221" s="25" t="str">
        <f t="shared" si="22"/>
        <v/>
      </c>
      <c r="N221" s="25" t="str">
        <f t="shared" si="23"/>
        <v/>
      </c>
      <c r="O221" s="25" t="str">
        <f t="shared" si="24"/>
        <v/>
      </c>
      <c r="P221" s="25" t="str">
        <f t="shared" si="25"/>
        <v/>
      </c>
      <c r="Q221" s="25" t="str">
        <f t="shared" si="26"/>
        <v/>
      </c>
    </row>
    <row r="222" spans="12:17" x14ac:dyDescent="0.25">
      <c r="L222" s="25" t="str">
        <f t="shared" si="21"/>
        <v/>
      </c>
      <c r="M222" s="25" t="str">
        <f t="shared" si="22"/>
        <v/>
      </c>
      <c r="N222" s="25" t="str">
        <f t="shared" si="23"/>
        <v/>
      </c>
      <c r="O222" s="25" t="str">
        <f t="shared" si="24"/>
        <v/>
      </c>
      <c r="P222" s="25" t="str">
        <f t="shared" si="25"/>
        <v/>
      </c>
      <c r="Q222" s="25" t="str">
        <f t="shared" si="26"/>
        <v/>
      </c>
    </row>
    <row r="223" spans="12:17" x14ac:dyDescent="0.25">
      <c r="L223" s="25" t="str">
        <f t="shared" si="21"/>
        <v/>
      </c>
      <c r="M223" s="25" t="str">
        <f t="shared" si="22"/>
        <v/>
      </c>
      <c r="N223" s="25" t="str">
        <f t="shared" si="23"/>
        <v/>
      </c>
      <c r="O223" s="25" t="str">
        <f t="shared" si="24"/>
        <v/>
      </c>
      <c r="P223" s="25" t="str">
        <f t="shared" si="25"/>
        <v/>
      </c>
      <c r="Q223" s="25" t="str">
        <f t="shared" si="26"/>
        <v/>
      </c>
    </row>
    <row r="224" spans="12:17" x14ac:dyDescent="0.25">
      <c r="L224" s="25" t="str">
        <f t="shared" si="21"/>
        <v/>
      </c>
      <c r="M224" s="25" t="str">
        <f t="shared" si="22"/>
        <v/>
      </c>
      <c r="N224" s="25" t="str">
        <f t="shared" si="23"/>
        <v/>
      </c>
      <c r="O224" s="25" t="str">
        <f t="shared" si="24"/>
        <v/>
      </c>
      <c r="P224" s="25" t="str">
        <f t="shared" si="25"/>
        <v/>
      </c>
      <c r="Q224" s="25" t="str">
        <f t="shared" si="26"/>
        <v/>
      </c>
    </row>
    <row r="225" spans="12:17" x14ac:dyDescent="0.25">
      <c r="L225" s="25" t="str">
        <f t="shared" si="21"/>
        <v/>
      </c>
      <c r="M225" s="25" t="str">
        <f t="shared" si="22"/>
        <v/>
      </c>
      <c r="N225" s="25" t="str">
        <f t="shared" si="23"/>
        <v/>
      </c>
      <c r="O225" s="25" t="str">
        <f t="shared" si="24"/>
        <v/>
      </c>
      <c r="P225" s="25" t="str">
        <f t="shared" si="25"/>
        <v/>
      </c>
      <c r="Q225" s="25" t="str">
        <f t="shared" si="26"/>
        <v/>
      </c>
    </row>
    <row r="226" spans="12:17" x14ac:dyDescent="0.25">
      <c r="L226" s="25" t="str">
        <f t="shared" si="21"/>
        <v/>
      </c>
      <c r="M226" s="25" t="str">
        <f t="shared" si="22"/>
        <v/>
      </c>
      <c r="N226" s="25" t="str">
        <f t="shared" si="23"/>
        <v/>
      </c>
      <c r="O226" s="25" t="str">
        <f t="shared" si="24"/>
        <v/>
      </c>
      <c r="P226" s="25" t="str">
        <f t="shared" si="25"/>
        <v/>
      </c>
      <c r="Q226" s="25" t="str">
        <f t="shared" si="26"/>
        <v/>
      </c>
    </row>
    <row r="227" spans="12:17" x14ac:dyDescent="0.25">
      <c r="L227" s="25" t="str">
        <f t="shared" si="21"/>
        <v/>
      </c>
      <c r="M227" s="25" t="str">
        <f t="shared" si="22"/>
        <v/>
      </c>
      <c r="N227" s="25" t="str">
        <f t="shared" si="23"/>
        <v/>
      </c>
      <c r="O227" s="25" t="str">
        <f t="shared" si="24"/>
        <v/>
      </c>
      <c r="P227" s="25" t="str">
        <f t="shared" si="25"/>
        <v/>
      </c>
      <c r="Q227" s="25" t="str">
        <f t="shared" si="26"/>
        <v/>
      </c>
    </row>
    <row r="228" spans="12:17" x14ac:dyDescent="0.25">
      <c r="L228" s="25" t="str">
        <f t="shared" si="21"/>
        <v/>
      </c>
      <c r="M228" s="25" t="str">
        <f t="shared" si="22"/>
        <v/>
      </c>
      <c r="N228" s="25" t="str">
        <f t="shared" si="23"/>
        <v/>
      </c>
      <c r="O228" s="25" t="str">
        <f t="shared" si="24"/>
        <v/>
      </c>
      <c r="P228" s="25" t="str">
        <f t="shared" si="25"/>
        <v/>
      </c>
      <c r="Q228" s="25" t="str">
        <f t="shared" si="26"/>
        <v/>
      </c>
    </row>
    <row r="229" spans="12:17" x14ac:dyDescent="0.25">
      <c r="L229" s="25" t="str">
        <f t="shared" si="21"/>
        <v/>
      </c>
      <c r="M229" s="25" t="str">
        <f t="shared" si="22"/>
        <v/>
      </c>
      <c r="N229" s="25" t="str">
        <f t="shared" si="23"/>
        <v/>
      </c>
      <c r="O229" s="25" t="str">
        <f t="shared" si="24"/>
        <v/>
      </c>
      <c r="P229" s="25" t="str">
        <f t="shared" si="25"/>
        <v/>
      </c>
      <c r="Q229" s="25" t="str">
        <f t="shared" si="26"/>
        <v/>
      </c>
    </row>
    <row r="230" spans="12:17" x14ac:dyDescent="0.25">
      <c r="L230" s="25" t="str">
        <f t="shared" si="21"/>
        <v/>
      </c>
      <c r="M230" s="25" t="str">
        <f t="shared" si="22"/>
        <v/>
      </c>
      <c r="N230" s="25" t="str">
        <f t="shared" si="23"/>
        <v/>
      </c>
      <c r="O230" s="25" t="str">
        <f t="shared" si="24"/>
        <v/>
      </c>
      <c r="P230" s="25" t="str">
        <f t="shared" si="25"/>
        <v/>
      </c>
      <c r="Q230" s="25" t="str">
        <f t="shared" si="26"/>
        <v/>
      </c>
    </row>
    <row r="231" spans="12:17" x14ac:dyDescent="0.25">
      <c r="L231" s="25" t="str">
        <f t="shared" si="21"/>
        <v/>
      </c>
      <c r="M231" s="25" t="str">
        <f t="shared" si="22"/>
        <v/>
      </c>
      <c r="N231" s="25" t="str">
        <f t="shared" si="23"/>
        <v/>
      </c>
      <c r="O231" s="25" t="str">
        <f t="shared" si="24"/>
        <v/>
      </c>
      <c r="P231" s="25" t="str">
        <f t="shared" si="25"/>
        <v/>
      </c>
      <c r="Q231" s="25" t="str">
        <f t="shared" si="26"/>
        <v/>
      </c>
    </row>
    <row r="232" spans="12:17" x14ac:dyDescent="0.25">
      <c r="L232" s="25" t="str">
        <f t="shared" si="21"/>
        <v/>
      </c>
      <c r="M232" s="25" t="str">
        <f t="shared" si="22"/>
        <v/>
      </c>
      <c r="N232" s="25" t="str">
        <f t="shared" si="23"/>
        <v/>
      </c>
      <c r="O232" s="25" t="str">
        <f t="shared" si="24"/>
        <v/>
      </c>
      <c r="P232" s="25" t="str">
        <f t="shared" si="25"/>
        <v/>
      </c>
      <c r="Q232" s="25" t="str">
        <f t="shared" si="26"/>
        <v/>
      </c>
    </row>
    <row r="233" spans="12:17" x14ac:dyDescent="0.25">
      <c r="L233" s="25" t="str">
        <f t="shared" si="21"/>
        <v/>
      </c>
      <c r="M233" s="25" t="str">
        <f t="shared" si="22"/>
        <v/>
      </c>
      <c r="N233" s="25" t="str">
        <f t="shared" si="23"/>
        <v/>
      </c>
      <c r="O233" s="25" t="str">
        <f t="shared" si="24"/>
        <v/>
      </c>
      <c r="P233" s="25" t="str">
        <f t="shared" si="25"/>
        <v/>
      </c>
      <c r="Q233" s="25" t="str">
        <f t="shared" si="26"/>
        <v/>
      </c>
    </row>
    <row r="234" spans="12:17" x14ac:dyDescent="0.25">
      <c r="L234" s="25" t="str">
        <f t="shared" si="21"/>
        <v/>
      </c>
      <c r="M234" s="25" t="str">
        <f t="shared" si="22"/>
        <v/>
      </c>
      <c r="N234" s="25" t="str">
        <f t="shared" si="23"/>
        <v/>
      </c>
      <c r="O234" s="25" t="str">
        <f t="shared" si="24"/>
        <v/>
      </c>
      <c r="P234" s="25" t="str">
        <f t="shared" si="25"/>
        <v/>
      </c>
      <c r="Q234" s="25" t="str">
        <f t="shared" si="26"/>
        <v/>
      </c>
    </row>
    <row r="235" spans="12:17" x14ac:dyDescent="0.25">
      <c r="L235" s="25" t="str">
        <f t="shared" si="21"/>
        <v/>
      </c>
      <c r="M235" s="25" t="str">
        <f t="shared" si="22"/>
        <v/>
      </c>
      <c r="N235" s="25" t="str">
        <f t="shared" si="23"/>
        <v/>
      </c>
      <c r="O235" s="25" t="str">
        <f t="shared" si="24"/>
        <v/>
      </c>
      <c r="P235" s="25" t="str">
        <f t="shared" si="25"/>
        <v/>
      </c>
      <c r="Q235" s="25" t="str">
        <f t="shared" si="26"/>
        <v/>
      </c>
    </row>
    <row r="236" spans="12:17" x14ac:dyDescent="0.25">
      <c r="L236" s="25" t="str">
        <f t="shared" si="21"/>
        <v/>
      </c>
      <c r="M236" s="25" t="str">
        <f t="shared" si="22"/>
        <v/>
      </c>
      <c r="N236" s="25" t="str">
        <f t="shared" si="23"/>
        <v/>
      </c>
      <c r="O236" s="25" t="str">
        <f t="shared" si="24"/>
        <v/>
      </c>
      <c r="P236" s="25" t="str">
        <f t="shared" si="25"/>
        <v/>
      </c>
      <c r="Q236" s="25" t="str">
        <f t="shared" si="26"/>
        <v/>
      </c>
    </row>
    <row r="237" spans="12:17" x14ac:dyDescent="0.25">
      <c r="L237" s="25" t="str">
        <f t="shared" si="21"/>
        <v/>
      </c>
      <c r="M237" s="25" t="str">
        <f t="shared" si="22"/>
        <v/>
      </c>
      <c r="N237" s="25" t="str">
        <f t="shared" si="23"/>
        <v/>
      </c>
      <c r="O237" s="25" t="str">
        <f t="shared" si="24"/>
        <v/>
      </c>
      <c r="P237" s="25" t="str">
        <f t="shared" si="25"/>
        <v/>
      </c>
      <c r="Q237" s="25" t="str">
        <f t="shared" si="26"/>
        <v/>
      </c>
    </row>
    <row r="238" spans="12:17" x14ac:dyDescent="0.25">
      <c r="L238" s="25" t="str">
        <f t="shared" si="21"/>
        <v/>
      </c>
      <c r="M238" s="25" t="str">
        <f t="shared" si="22"/>
        <v/>
      </c>
      <c r="N238" s="25" t="str">
        <f t="shared" si="23"/>
        <v/>
      </c>
      <c r="O238" s="25" t="str">
        <f t="shared" si="24"/>
        <v/>
      </c>
      <c r="P238" s="25" t="str">
        <f t="shared" si="25"/>
        <v/>
      </c>
      <c r="Q238" s="25" t="str">
        <f t="shared" si="26"/>
        <v/>
      </c>
    </row>
    <row r="239" spans="12:17" x14ac:dyDescent="0.25">
      <c r="L239" s="25" t="str">
        <f t="shared" si="21"/>
        <v/>
      </c>
      <c r="M239" s="25" t="str">
        <f t="shared" si="22"/>
        <v/>
      </c>
      <c r="N239" s="25" t="str">
        <f t="shared" si="23"/>
        <v/>
      </c>
      <c r="O239" s="25" t="str">
        <f t="shared" si="24"/>
        <v/>
      </c>
      <c r="P239" s="25" t="str">
        <f t="shared" si="25"/>
        <v/>
      </c>
      <c r="Q239" s="25" t="str">
        <f t="shared" si="26"/>
        <v/>
      </c>
    </row>
    <row r="240" spans="12:17" x14ac:dyDescent="0.25">
      <c r="L240" s="25" t="str">
        <f t="shared" si="21"/>
        <v/>
      </c>
      <c r="M240" s="25" t="str">
        <f t="shared" si="22"/>
        <v/>
      </c>
      <c r="N240" s="25" t="str">
        <f t="shared" si="23"/>
        <v/>
      </c>
      <c r="O240" s="25" t="str">
        <f t="shared" si="24"/>
        <v/>
      </c>
      <c r="P240" s="25" t="str">
        <f t="shared" si="25"/>
        <v/>
      </c>
      <c r="Q240" s="25" t="str">
        <f t="shared" si="26"/>
        <v/>
      </c>
    </row>
    <row r="241" spans="12:17" x14ac:dyDescent="0.25">
      <c r="L241" s="25" t="str">
        <f t="shared" si="21"/>
        <v/>
      </c>
      <c r="M241" s="25" t="str">
        <f t="shared" si="22"/>
        <v/>
      </c>
      <c r="N241" s="25" t="str">
        <f t="shared" si="23"/>
        <v/>
      </c>
      <c r="O241" s="25" t="str">
        <f t="shared" si="24"/>
        <v/>
      </c>
      <c r="P241" s="25" t="str">
        <f t="shared" si="25"/>
        <v/>
      </c>
      <c r="Q241" s="25" t="str">
        <f t="shared" si="26"/>
        <v/>
      </c>
    </row>
    <row r="242" spans="12:17" x14ac:dyDescent="0.25">
      <c r="L242" s="25" t="str">
        <f t="shared" si="21"/>
        <v/>
      </c>
      <c r="M242" s="25" t="str">
        <f t="shared" si="22"/>
        <v/>
      </c>
      <c r="N242" s="25" t="str">
        <f t="shared" si="23"/>
        <v/>
      </c>
      <c r="O242" s="25" t="str">
        <f t="shared" si="24"/>
        <v/>
      </c>
      <c r="P242" s="25" t="str">
        <f t="shared" si="25"/>
        <v/>
      </c>
      <c r="Q242" s="25" t="str">
        <f t="shared" si="26"/>
        <v/>
      </c>
    </row>
    <row r="243" spans="12:17" x14ac:dyDescent="0.25">
      <c r="L243" s="25" t="str">
        <f t="shared" si="21"/>
        <v/>
      </c>
      <c r="M243" s="25" t="str">
        <f t="shared" si="22"/>
        <v/>
      </c>
      <c r="N243" s="25" t="str">
        <f t="shared" si="23"/>
        <v/>
      </c>
      <c r="O243" s="25" t="str">
        <f t="shared" si="24"/>
        <v/>
      </c>
      <c r="P243" s="25" t="str">
        <f t="shared" si="25"/>
        <v/>
      </c>
      <c r="Q243" s="25" t="str">
        <f t="shared" si="26"/>
        <v/>
      </c>
    </row>
    <row r="244" spans="12:17" x14ac:dyDescent="0.25">
      <c r="L244" s="25" t="str">
        <f t="shared" si="21"/>
        <v/>
      </c>
      <c r="M244" s="25" t="str">
        <f t="shared" si="22"/>
        <v/>
      </c>
      <c r="N244" s="25" t="str">
        <f t="shared" si="23"/>
        <v/>
      </c>
      <c r="O244" s="25" t="str">
        <f t="shared" si="24"/>
        <v/>
      </c>
      <c r="P244" s="25" t="str">
        <f t="shared" si="25"/>
        <v/>
      </c>
      <c r="Q244" s="25" t="str">
        <f t="shared" si="26"/>
        <v/>
      </c>
    </row>
    <row r="245" spans="12:17" x14ac:dyDescent="0.25">
      <c r="L245" s="25" t="str">
        <f t="shared" si="21"/>
        <v/>
      </c>
      <c r="M245" s="25" t="str">
        <f t="shared" si="22"/>
        <v/>
      </c>
      <c r="N245" s="25" t="str">
        <f t="shared" si="23"/>
        <v/>
      </c>
      <c r="O245" s="25" t="str">
        <f t="shared" si="24"/>
        <v/>
      </c>
      <c r="P245" s="25" t="str">
        <f t="shared" si="25"/>
        <v/>
      </c>
      <c r="Q245" s="25" t="str">
        <f t="shared" si="26"/>
        <v/>
      </c>
    </row>
    <row r="246" spans="12:17" x14ac:dyDescent="0.25">
      <c r="L246" s="25" t="str">
        <f t="shared" si="21"/>
        <v/>
      </c>
      <c r="M246" s="25" t="str">
        <f t="shared" si="22"/>
        <v/>
      </c>
      <c r="N246" s="25" t="str">
        <f t="shared" si="23"/>
        <v/>
      </c>
      <c r="O246" s="25" t="str">
        <f t="shared" si="24"/>
        <v/>
      </c>
      <c r="P246" s="25" t="str">
        <f t="shared" si="25"/>
        <v/>
      </c>
      <c r="Q246" s="25" t="str">
        <f t="shared" si="26"/>
        <v/>
      </c>
    </row>
    <row r="247" spans="12:17" x14ac:dyDescent="0.25">
      <c r="L247" s="25" t="str">
        <f t="shared" si="21"/>
        <v/>
      </c>
      <c r="M247" s="25" t="str">
        <f t="shared" si="22"/>
        <v/>
      </c>
      <c r="N247" s="25" t="str">
        <f t="shared" si="23"/>
        <v/>
      </c>
      <c r="O247" s="25" t="str">
        <f t="shared" si="24"/>
        <v/>
      </c>
      <c r="P247" s="25" t="str">
        <f t="shared" si="25"/>
        <v/>
      </c>
      <c r="Q247" s="25" t="str">
        <f t="shared" si="26"/>
        <v/>
      </c>
    </row>
    <row r="248" spans="12:17" x14ac:dyDescent="0.25">
      <c r="L248" s="25" t="str">
        <f t="shared" si="21"/>
        <v/>
      </c>
      <c r="M248" s="25" t="str">
        <f t="shared" si="22"/>
        <v/>
      </c>
      <c r="N248" s="25" t="str">
        <f t="shared" si="23"/>
        <v/>
      </c>
      <c r="O248" s="25" t="str">
        <f t="shared" si="24"/>
        <v/>
      </c>
      <c r="P248" s="25" t="str">
        <f t="shared" si="25"/>
        <v/>
      </c>
      <c r="Q248" s="25" t="str">
        <f t="shared" si="26"/>
        <v/>
      </c>
    </row>
    <row r="249" spans="12:17" x14ac:dyDescent="0.25">
      <c r="L249" s="25" t="str">
        <f t="shared" si="21"/>
        <v/>
      </c>
      <c r="M249" s="25" t="str">
        <f t="shared" si="22"/>
        <v/>
      </c>
      <c r="N249" s="25" t="str">
        <f t="shared" si="23"/>
        <v/>
      </c>
      <c r="O249" s="25" t="str">
        <f t="shared" si="24"/>
        <v/>
      </c>
      <c r="P249" s="25" t="str">
        <f t="shared" si="25"/>
        <v/>
      </c>
      <c r="Q249" s="25" t="str">
        <f t="shared" si="26"/>
        <v/>
      </c>
    </row>
    <row r="250" spans="12:17" x14ac:dyDescent="0.25">
      <c r="L250" s="25" t="str">
        <f t="shared" si="21"/>
        <v/>
      </c>
      <c r="M250" s="25" t="str">
        <f t="shared" si="22"/>
        <v/>
      </c>
      <c r="N250" s="25" t="str">
        <f t="shared" si="23"/>
        <v/>
      </c>
      <c r="O250" s="25" t="str">
        <f t="shared" si="24"/>
        <v/>
      </c>
      <c r="P250" s="25" t="str">
        <f t="shared" si="25"/>
        <v/>
      </c>
      <c r="Q250" s="25" t="str">
        <f t="shared" si="26"/>
        <v/>
      </c>
    </row>
    <row r="251" spans="12:17" x14ac:dyDescent="0.25">
      <c r="L251" s="25" t="str">
        <f t="shared" si="21"/>
        <v/>
      </c>
      <c r="M251" s="25" t="str">
        <f t="shared" si="22"/>
        <v/>
      </c>
      <c r="N251" s="25" t="str">
        <f t="shared" si="23"/>
        <v/>
      </c>
      <c r="O251" s="25" t="str">
        <f t="shared" si="24"/>
        <v/>
      </c>
      <c r="P251" s="25" t="str">
        <f t="shared" si="25"/>
        <v/>
      </c>
      <c r="Q251" s="25" t="str">
        <f t="shared" si="26"/>
        <v/>
      </c>
    </row>
    <row r="252" spans="12:17" x14ac:dyDescent="0.25">
      <c r="L252" s="25" t="str">
        <f t="shared" si="21"/>
        <v/>
      </c>
      <c r="M252" s="25" t="str">
        <f t="shared" si="22"/>
        <v/>
      </c>
      <c r="N252" s="25" t="str">
        <f t="shared" si="23"/>
        <v/>
      </c>
      <c r="O252" s="25" t="str">
        <f t="shared" si="24"/>
        <v/>
      </c>
      <c r="P252" s="25" t="str">
        <f t="shared" si="25"/>
        <v/>
      </c>
      <c r="Q252" s="25" t="str">
        <f t="shared" si="26"/>
        <v/>
      </c>
    </row>
    <row r="253" spans="12:17" x14ac:dyDescent="0.25">
      <c r="L253" s="25" t="str">
        <f t="shared" si="21"/>
        <v/>
      </c>
      <c r="M253" s="25" t="str">
        <f t="shared" si="22"/>
        <v/>
      </c>
      <c r="N253" s="25" t="str">
        <f t="shared" si="23"/>
        <v/>
      </c>
      <c r="O253" s="25" t="str">
        <f t="shared" si="24"/>
        <v/>
      </c>
      <c r="P253" s="25" t="str">
        <f t="shared" si="25"/>
        <v/>
      </c>
      <c r="Q253" s="25" t="str">
        <f t="shared" si="26"/>
        <v/>
      </c>
    </row>
    <row r="254" spans="12:17" x14ac:dyDescent="0.25">
      <c r="L254" s="25" t="str">
        <f t="shared" si="21"/>
        <v/>
      </c>
      <c r="M254" s="25" t="str">
        <f t="shared" si="22"/>
        <v/>
      </c>
      <c r="N254" s="25" t="str">
        <f t="shared" si="23"/>
        <v/>
      </c>
      <c r="O254" s="25" t="str">
        <f t="shared" si="24"/>
        <v/>
      </c>
      <c r="P254" s="25" t="str">
        <f t="shared" si="25"/>
        <v/>
      </c>
      <c r="Q254" s="25" t="str">
        <f t="shared" si="26"/>
        <v/>
      </c>
    </row>
    <row r="255" spans="12:17" x14ac:dyDescent="0.25">
      <c r="L255" s="25"/>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8BD2B-3D71-4A53-81AC-7D1815392E78}">
  <dimension ref="A1:N20"/>
  <sheetViews>
    <sheetView workbookViewId="0">
      <selection activeCell="A12" sqref="A12:E12"/>
    </sheetView>
  </sheetViews>
  <sheetFormatPr defaultColWidth="11.42578125" defaultRowHeight="15" x14ac:dyDescent="0.25"/>
  <cols>
    <col min="1" max="1" width="13.140625" customWidth="1"/>
    <col min="2" max="2" width="12.7109375" customWidth="1"/>
    <col min="3" max="3" width="12.28515625" customWidth="1"/>
    <col min="4" max="4" width="12.85546875" customWidth="1"/>
    <col min="7" max="7" width="11.85546875" customWidth="1"/>
    <col min="8" max="8" width="10.85546875" customWidth="1"/>
  </cols>
  <sheetData>
    <row r="1" spans="1:14" x14ac:dyDescent="0.25">
      <c r="A1" s="69" t="s">
        <v>98</v>
      </c>
      <c r="B1" s="69"/>
      <c r="C1" s="69"/>
      <c r="D1" s="69"/>
      <c r="E1" s="69"/>
      <c r="H1" t="str" cm="1">
        <f t="array" ref="H1:L1">'Stock Data'!V1:Z1</f>
        <v>AAPL</v>
      </c>
      <c r="I1" t="str">
        <v xml:space="preserve">KO </v>
      </c>
      <c r="J1" t="str">
        <v>JPM</v>
      </c>
      <c r="K1" t="str">
        <v>MRK</v>
      </c>
      <c r="L1" t="str">
        <v>SLB</v>
      </c>
    </row>
    <row r="2" spans="1:14" x14ac:dyDescent="0.25">
      <c r="A2" s="68" t="s">
        <v>97</v>
      </c>
      <c r="B2" s="68"/>
      <c r="C2" s="68"/>
      <c r="D2" s="68"/>
      <c r="E2" s="68"/>
      <c r="G2" t="s">
        <v>96</v>
      </c>
      <c r="H2" s="43">
        <v>0.2</v>
      </c>
      <c r="I2" s="43">
        <v>0.2</v>
      </c>
      <c r="J2" s="43">
        <v>0.2</v>
      </c>
      <c r="K2" s="43">
        <v>0.2</v>
      </c>
      <c r="L2" s="43">
        <v>0.2</v>
      </c>
      <c r="N2" s="43"/>
    </row>
    <row r="3" spans="1:14" x14ac:dyDescent="0.25">
      <c r="A3" cm="1">
        <f t="array" aca="1" ref="A3:E7" ca="1">'Stock Data'!W35:AA39</f>
        <v>5.6332408440516266E-3</v>
      </c>
      <c r="B3">
        <f ca="1"/>
        <v>9.0910812853093692E-4</v>
      </c>
      <c r="C3">
        <f ca="1"/>
        <v>1.907121274375519E-3</v>
      </c>
      <c r="D3">
        <f ca="1"/>
        <v>8.56137154874366E-5</v>
      </c>
      <c r="E3">
        <f ca="1"/>
        <v>1.6660367643026855E-3</v>
      </c>
      <c r="G3" s="44"/>
      <c r="N3" s="43"/>
    </row>
    <row r="4" spans="1:14" x14ac:dyDescent="0.25">
      <c r="A4">
        <f ca="1"/>
        <v>9.0910812853093692E-4</v>
      </c>
      <c r="B4">
        <f ca="1"/>
        <v>1.6165297951714959E-3</v>
      </c>
      <c r="C4">
        <f ca="1"/>
        <v>9.5875638840034862E-4</v>
      </c>
      <c r="D4">
        <f ca="1"/>
        <v>1.0411940901038459E-3</v>
      </c>
      <c r="E4">
        <f ca="1"/>
        <v>1.12520997278241E-3</v>
      </c>
      <c r="G4" s="44"/>
      <c r="N4" s="43"/>
    </row>
    <row r="5" spans="1:14" x14ac:dyDescent="0.25">
      <c r="A5">
        <f ca="1"/>
        <v>1.907121274375519E-3</v>
      </c>
      <c r="B5">
        <f ca="1"/>
        <v>9.5875638840034862E-4</v>
      </c>
      <c r="C5">
        <f ca="1"/>
        <v>5.8282646347066844E-3</v>
      </c>
      <c r="D5">
        <f ca="1"/>
        <v>1.1135458719764145E-3</v>
      </c>
      <c r="E5">
        <f ca="1"/>
        <v>5.6669805901782867E-3</v>
      </c>
      <c r="G5" s="44"/>
      <c r="N5" s="43"/>
    </row>
    <row r="6" spans="1:14" x14ac:dyDescent="0.25">
      <c r="A6">
        <f ca="1"/>
        <v>8.56137154874366E-5</v>
      </c>
      <c r="B6">
        <f ca="1"/>
        <v>1.0411940901038459E-3</v>
      </c>
      <c r="C6">
        <f ca="1"/>
        <v>1.1135458719764145E-3</v>
      </c>
      <c r="D6">
        <f ca="1"/>
        <v>3.6637646235815374E-3</v>
      </c>
      <c r="E6">
        <f ca="1"/>
        <v>2.2695079430156322E-3</v>
      </c>
      <c r="G6" s="44"/>
      <c r="N6" s="43"/>
    </row>
    <row r="7" spans="1:14" x14ac:dyDescent="0.25">
      <c r="A7">
        <f ca="1"/>
        <v>1.6660367643026855E-3</v>
      </c>
      <c r="B7">
        <f ca="1"/>
        <v>1.12520997278241E-3</v>
      </c>
      <c r="C7">
        <f ca="1"/>
        <v>5.6669805901782867E-3</v>
      </c>
      <c r="D7">
        <f ca="1"/>
        <v>2.2695079430156322E-3</v>
      </c>
      <c r="E7">
        <f ca="1"/>
        <v>1.2769888345442305E-2</v>
      </c>
      <c r="F7" s="42"/>
      <c r="G7" s="41"/>
    </row>
    <row r="8" spans="1:14" x14ac:dyDescent="0.25">
      <c r="A8" s="40"/>
    </row>
    <row r="9" spans="1:14" x14ac:dyDescent="0.25">
      <c r="A9" s="40"/>
    </row>
    <row r="10" spans="1:14" x14ac:dyDescent="0.25">
      <c r="A10" s="40"/>
    </row>
    <row r="12" spans="1:14" x14ac:dyDescent="0.25">
      <c r="A12" s="68" t="s">
        <v>95</v>
      </c>
      <c r="B12" s="68"/>
      <c r="C12" s="68"/>
      <c r="D12" s="68"/>
      <c r="E12" s="68"/>
    </row>
    <row r="13" spans="1:14" x14ac:dyDescent="0.25">
      <c r="A13" s="39" t="str" cm="1">
        <f t="array" aca="1" ref="A13:E14" ca="1">'Stock Data'!V1:Z2</f>
        <v>AAPL</v>
      </c>
      <c r="B13" t="str">
        <f ca="1"/>
        <v xml:space="preserve">KO </v>
      </c>
      <c r="C13" t="str">
        <f ca="1"/>
        <v>JPM</v>
      </c>
      <c r="D13" t="str">
        <f ca="1"/>
        <v>MRK</v>
      </c>
      <c r="E13" t="str">
        <f ca="1"/>
        <v>SLB</v>
      </c>
    </row>
    <row r="14" spans="1:14" x14ac:dyDescent="0.25">
      <c r="A14" s="39">
        <f ca="1"/>
        <v>9.9322663605909637E-3</v>
      </c>
      <c r="B14" s="25">
        <f ca="1"/>
        <v>2.0445707371839288E-3</v>
      </c>
      <c r="C14" s="25">
        <f ca="1"/>
        <v>1.9738135159064311E-2</v>
      </c>
      <c r="D14" s="25">
        <f ca="1"/>
        <v>3.6610838124930944E-3</v>
      </c>
      <c r="E14" s="25">
        <f ca="1"/>
        <v>6.5916234258217429E-3</v>
      </c>
    </row>
    <row r="15" spans="1:14" x14ac:dyDescent="0.25">
      <c r="A15" s="39"/>
    </row>
    <row r="18" spans="1:2" x14ac:dyDescent="0.25">
      <c r="A18" s="37" t="s">
        <v>94</v>
      </c>
      <c r="B18" s="36">
        <f ca="1">SUMPRODUCT(H2:L2,A14:E14)</f>
        <v>8.3935358990308087E-3</v>
      </c>
    </row>
    <row r="19" spans="1:2" x14ac:dyDescent="0.25">
      <c r="A19" s="37" t="s">
        <v>93</v>
      </c>
      <c r="B19" s="38" cm="1">
        <f t="array" aca="1" ref="B19" ca="1">SUMPRODUCT(TRANSPOSE(H2:L2),MMULT(_xlfn.ANCHORARRAY(A3),TRANSPOSE(H2:L2)))</f>
        <v>2.5199135088504274E-3</v>
      </c>
    </row>
    <row r="20" spans="1:2" x14ac:dyDescent="0.25">
      <c r="A20" s="37" t="s">
        <v>92</v>
      </c>
      <c r="B20" s="36">
        <f ca="1">SQRT(B19)</f>
        <v>5.0198740112182373E-2</v>
      </c>
    </row>
  </sheetData>
  <mergeCells count="3">
    <mergeCell ref="A12:E12"/>
    <mergeCell ref="A2:E2"/>
    <mergeCell ref="A1:E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C20CF-B5AE-48C9-B172-1E0D7ADDCE81}">
  <dimension ref="A1:N20"/>
  <sheetViews>
    <sheetView workbookViewId="0">
      <selection activeCell="E8" sqref="E8:G9"/>
    </sheetView>
  </sheetViews>
  <sheetFormatPr defaultColWidth="11.42578125" defaultRowHeight="15" x14ac:dyDescent="0.25"/>
  <cols>
    <col min="1" max="1" width="13.140625" customWidth="1"/>
    <col min="2" max="2" width="12.7109375" customWidth="1"/>
    <col min="3" max="3" width="12.28515625" customWidth="1"/>
    <col min="4" max="4" width="12.85546875" customWidth="1"/>
    <col min="7" max="7" width="11.85546875" customWidth="1"/>
    <col min="8" max="8" width="10.85546875" customWidth="1"/>
  </cols>
  <sheetData>
    <row r="1" spans="1:14" x14ac:dyDescent="0.25">
      <c r="A1" s="69" t="s">
        <v>98</v>
      </c>
      <c r="B1" s="69"/>
      <c r="C1" s="69"/>
      <c r="D1" s="69"/>
      <c r="E1" s="69"/>
      <c r="H1" t="str" cm="1">
        <f t="array" ref="H1:L1">'Stock Data'!V1:Z1</f>
        <v>AAPL</v>
      </c>
      <c r="I1" t="str">
        <v xml:space="preserve">KO </v>
      </c>
      <c r="J1" t="str">
        <v>JPM</v>
      </c>
      <c r="K1" t="str">
        <v>MRK</v>
      </c>
      <c r="L1" t="str">
        <v>SLB</v>
      </c>
    </row>
    <row r="2" spans="1:14" x14ac:dyDescent="0.25">
      <c r="A2" s="68" t="s">
        <v>97</v>
      </c>
      <c r="B2" s="68"/>
      <c r="C2" s="68"/>
      <c r="D2" s="68"/>
      <c r="E2" s="68"/>
      <c r="G2" t="s">
        <v>96</v>
      </c>
      <c r="H2" s="43">
        <v>0.35</v>
      </c>
      <c r="I2" s="43">
        <v>0.25</v>
      </c>
      <c r="J2" s="43">
        <v>0.1</v>
      </c>
      <c r="K2" s="43">
        <v>0.15</v>
      </c>
      <c r="L2" s="43">
        <v>0.15</v>
      </c>
      <c r="N2" s="43"/>
    </row>
    <row r="3" spans="1:14" x14ac:dyDescent="0.25">
      <c r="A3" cm="1">
        <f t="array" aca="1" ref="A3:E7" ca="1">'Stock Data'!W35:AA39</f>
        <v>5.6332408440516266E-3</v>
      </c>
      <c r="B3">
        <f ca="1"/>
        <v>9.0910812853093692E-4</v>
      </c>
      <c r="C3">
        <f ca="1"/>
        <v>1.907121274375519E-3</v>
      </c>
      <c r="D3">
        <f ca="1"/>
        <v>8.56137154874366E-5</v>
      </c>
      <c r="E3">
        <f ca="1"/>
        <v>1.6660367643026855E-3</v>
      </c>
      <c r="G3" s="44"/>
      <c r="N3" s="43"/>
    </row>
    <row r="4" spans="1:14" x14ac:dyDescent="0.25">
      <c r="A4">
        <f ca="1"/>
        <v>9.0910812853093692E-4</v>
      </c>
      <c r="B4">
        <f ca="1"/>
        <v>1.6165297951714959E-3</v>
      </c>
      <c r="C4">
        <f ca="1"/>
        <v>9.5875638840034862E-4</v>
      </c>
      <c r="D4">
        <f ca="1"/>
        <v>1.0411940901038459E-3</v>
      </c>
      <c r="E4">
        <f ca="1"/>
        <v>1.12520997278241E-3</v>
      </c>
      <c r="G4" s="44"/>
      <c r="N4" s="43"/>
    </row>
    <row r="5" spans="1:14" x14ac:dyDescent="0.25">
      <c r="A5">
        <f ca="1"/>
        <v>1.907121274375519E-3</v>
      </c>
      <c r="B5">
        <f ca="1"/>
        <v>9.5875638840034862E-4</v>
      </c>
      <c r="C5">
        <f ca="1"/>
        <v>5.8282646347066844E-3</v>
      </c>
      <c r="D5">
        <f ca="1"/>
        <v>1.1135458719764145E-3</v>
      </c>
      <c r="E5">
        <f ca="1"/>
        <v>5.6669805901782867E-3</v>
      </c>
      <c r="G5" s="44"/>
      <c r="N5" s="43"/>
    </row>
    <row r="6" spans="1:14" x14ac:dyDescent="0.25">
      <c r="A6">
        <f ca="1"/>
        <v>8.56137154874366E-5</v>
      </c>
      <c r="B6">
        <f ca="1"/>
        <v>1.0411940901038459E-3</v>
      </c>
      <c r="C6">
        <f ca="1"/>
        <v>1.1135458719764145E-3</v>
      </c>
      <c r="D6">
        <f ca="1"/>
        <v>3.6637646235815374E-3</v>
      </c>
      <c r="E6">
        <f ca="1"/>
        <v>2.2695079430156322E-3</v>
      </c>
      <c r="G6" s="44"/>
      <c r="N6" s="43"/>
    </row>
    <row r="7" spans="1:14" x14ac:dyDescent="0.25">
      <c r="A7">
        <f ca="1"/>
        <v>1.6660367643026855E-3</v>
      </c>
      <c r="B7">
        <f ca="1"/>
        <v>1.12520997278241E-3</v>
      </c>
      <c r="C7">
        <f ca="1"/>
        <v>5.6669805901782867E-3</v>
      </c>
      <c r="D7">
        <f ca="1"/>
        <v>2.2695079430156322E-3</v>
      </c>
      <c r="E7">
        <f ca="1"/>
        <v>1.2769888345442305E-2</v>
      </c>
      <c r="F7" s="42"/>
      <c r="G7" s="41"/>
    </row>
    <row r="8" spans="1:14" x14ac:dyDescent="0.25">
      <c r="A8" s="40"/>
    </row>
    <row r="9" spans="1:14" x14ac:dyDescent="0.25">
      <c r="A9" s="40"/>
    </row>
    <row r="10" spans="1:14" x14ac:dyDescent="0.25">
      <c r="A10" s="40"/>
    </row>
    <row r="12" spans="1:14" x14ac:dyDescent="0.25">
      <c r="A12" s="68" t="s">
        <v>95</v>
      </c>
      <c r="B12" s="68"/>
      <c r="C12" s="68"/>
      <c r="D12" s="68"/>
      <c r="E12" s="68"/>
    </row>
    <row r="13" spans="1:14" x14ac:dyDescent="0.25">
      <c r="A13" s="39" t="str" cm="1">
        <f t="array" aca="1" ref="A13:E14" ca="1">'Stock Data'!V1:Z2</f>
        <v>AAPL</v>
      </c>
      <c r="B13" t="str">
        <f ca="1"/>
        <v xml:space="preserve">KO </v>
      </c>
      <c r="C13" t="str">
        <f ca="1"/>
        <v>JPM</v>
      </c>
      <c r="D13" t="str">
        <f ca="1"/>
        <v>MRK</v>
      </c>
      <c r="E13" t="str">
        <f ca="1"/>
        <v>SLB</v>
      </c>
    </row>
    <row r="14" spans="1:14" x14ac:dyDescent="0.25">
      <c r="A14" s="39">
        <f ca="1"/>
        <v>9.9322663605909637E-3</v>
      </c>
      <c r="B14" s="25">
        <f ca="1"/>
        <v>2.0445707371839288E-3</v>
      </c>
      <c r="C14" s="25">
        <f ca="1"/>
        <v>1.9738135159064311E-2</v>
      </c>
      <c r="D14" s="25">
        <f ca="1"/>
        <v>3.6610838124930944E-3</v>
      </c>
      <c r="E14" s="25">
        <f ca="1"/>
        <v>6.5916234258217429E-3</v>
      </c>
    </row>
    <row r="15" spans="1:14" x14ac:dyDescent="0.25">
      <c r="A15" s="39"/>
    </row>
    <row r="18" spans="1:2" x14ac:dyDescent="0.25">
      <c r="A18" s="37" t="s">
        <v>94</v>
      </c>
      <c r="B18" s="36">
        <f ca="1">SUMPRODUCT(H2:L2,A14:E14)</f>
        <v>7.4991555121564756E-3</v>
      </c>
    </row>
    <row r="19" spans="1:2" x14ac:dyDescent="0.25">
      <c r="A19" s="37" t="s">
        <v>93</v>
      </c>
      <c r="B19" s="38" cm="1">
        <f t="array" aca="1" ref="B19" ca="1">SUMPRODUCT(TRANSPOSE(H2:L2),MMULT(_xlfn.ANCHORARRAY(A3),TRANSPOSE(H2:L2)))</f>
        <v>2.2116224412586402E-3</v>
      </c>
    </row>
    <row r="20" spans="1:2" x14ac:dyDescent="0.25">
      <c r="A20" s="37" t="s">
        <v>92</v>
      </c>
      <c r="B20" s="36">
        <f ca="1">SQRT(B19)</f>
        <v>4.7027890036218295E-2</v>
      </c>
    </row>
  </sheetData>
  <mergeCells count="3">
    <mergeCell ref="A1:E1"/>
    <mergeCell ref="A2:E2"/>
    <mergeCell ref="A12:E1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DFC59-29EB-4909-902F-96D6F3D5E139}">
  <dimension ref="A1:V44"/>
  <sheetViews>
    <sheetView workbookViewId="0">
      <selection activeCell="C35" sqref="C35"/>
    </sheetView>
  </sheetViews>
  <sheetFormatPr defaultColWidth="11.42578125" defaultRowHeight="15" x14ac:dyDescent="0.25"/>
  <cols>
    <col min="1" max="1" width="19.85546875" customWidth="1"/>
    <col min="8" max="8" width="13" customWidth="1"/>
    <col min="11" max="11" width="15.7109375" customWidth="1"/>
  </cols>
  <sheetData>
    <row r="1" spans="1:22" x14ac:dyDescent="0.25">
      <c r="A1" s="70" t="s">
        <v>108</v>
      </c>
      <c r="B1" s="70"/>
      <c r="C1" s="70"/>
      <c r="D1" s="70"/>
      <c r="E1" s="70"/>
      <c r="F1" s="70"/>
      <c r="G1" s="57"/>
      <c r="H1" s="57"/>
      <c r="I1" s="57"/>
      <c r="J1" s="57"/>
      <c r="K1" s="57"/>
      <c r="L1" s="57"/>
      <c r="M1" s="71"/>
      <c r="N1" s="71"/>
      <c r="O1" s="71"/>
      <c r="P1" s="71"/>
      <c r="Q1" s="71"/>
      <c r="R1" s="57"/>
      <c r="S1" s="57"/>
      <c r="T1" s="57"/>
      <c r="U1" s="57"/>
      <c r="V1" s="57"/>
    </row>
    <row r="2" spans="1:22" x14ac:dyDescent="0.25">
      <c r="B2" s="61" t="str" cm="1">
        <f t="array" ref="B2:F2">'Stock Data'!V1:Z1</f>
        <v>AAPL</v>
      </c>
      <c r="C2" s="61" t="str">
        <v xml:space="preserve">KO </v>
      </c>
      <c r="D2" s="61" t="str">
        <v>JPM</v>
      </c>
      <c r="E2" s="61" t="str">
        <v>MRK</v>
      </c>
      <c r="F2" s="61" t="str">
        <v>SLB</v>
      </c>
      <c r="G2" s="42"/>
      <c r="H2" s="72" t="s">
        <v>107</v>
      </c>
      <c r="I2" s="72"/>
      <c r="J2" s="72"/>
      <c r="K2" s="72"/>
      <c r="L2" s="72"/>
    </row>
    <row r="3" spans="1:22" x14ac:dyDescent="0.25">
      <c r="A3" s="61" t="str">
        <f>B2</f>
        <v>AAPL</v>
      </c>
      <c r="B3" cm="1">
        <f t="array" aca="1" ref="B3:F7" ca="1">'Stock Data'!W35:AA39</f>
        <v>5.6332408440516266E-3</v>
      </c>
      <c r="C3">
        <f ca="1"/>
        <v>9.0910812853093692E-4</v>
      </c>
      <c r="D3">
        <f ca="1"/>
        <v>1.907121274375519E-3</v>
      </c>
      <c r="E3">
        <f ca="1"/>
        <v>8.56137154874366E-5</v>
      </c>
      <c r="F3">
        <f ca="1"/>
        <v>1.6660367643026855E-3</v>
      </c>
      <c r="H3" cm="1">
        <f t="array" aca="1" ref="H3:L7" ca="1">MINVERSE(_xlfn.ANCHORARRAY(B3))</f>
        <v>215.9018966719261</v>
      </c>
      <c r="I3">
        <f ca="1"/>
        <v>-115.12432189041805</v>
      </c>
      <c r="J3">
        <f ca="1"/>
        <v>-61.595958006351907</v>
      </c>
      <c r="K3">
        <f ca="1"/>
        <v>45.650843695674041</v>
      </c>
      <c r="L3">
        <f ca="1"/>
        <v>1.1978713855393528</v>
      </c>
      <c r="M3" s="53"/>
      <c r="N3" s="53"/>
      <c r="O3" s="53"/>
      <c r="P3" s="53"/>
      <c r="Q3" s="53"/>
      <c r="R3" s="53"/>
      <c r="S3" s="53"/>
      <c r="T3" s="53"/>
      <c r="U3" s="53"/>
      <c r="V3" s="53"/>
    </row>
    <row r="4" spans="1:22" x14ac:dyDescent="0.25">
      <c r="A4" s="61" t="str">
        <f>C2</f>
        <v xml:space="preserve">KO </v>
      </c>
      <c r="B4">
        <f ca="1"/>
        <v>9.0910812853093692E-4</v>
      </c>
      <c r="C4">
        <f ca="1"/>
        <v>1.6165297951714959E-3</v>
      </c>
      <c r="D4">
        <f ca="1"/>
        <v>9.5875638840034862E-4</v>
      </c>
      <c r="E4">
        <f ca="1"/>
        <v>1.0411940901038459E-3</v>
      </c>
      <c r="F4">
        <f ca="1"/>
        <v>1.12520997278241E-3</v>
      </c>
      <c r="H4">
        <f ca="1"/>
        <v>-115.124321890418</v>
      </c>
      <c r="I4">
        <f ca="1"/>
        <v>865.26714059221069</v>
      </c>
      <c r="J4">
        <f ca="1"/>
        <v>-72.066710094340522</v>
      </c>
      <c r="K4">
        <f ca="1"/>
        <v>-228.32714495139126</v>
      </c>
      <c r="L4">
        <f ca="1"/>
        <v>11.338004646465883</v>
      </c>
      <c r="M4" s="53"/>
      <c r="N4" s="53"/>
      <c r="O4" s="53"/>
      <c r="P4" s="53"/>
      <c r="Q4" s="53"/>
      <c r="R4" s="53"/>
      <c r="S4" s="53"/>
      <c r="T4" s="53"/>
      <c r="U4" s="53"/>
      <c r="V4" s="53"/>
    </row>
    <row r="5" spans="1:22" x14ac:dyDescent="0.25">
      <c r="A5" s="61" t="str">
        <f>D2</f>
        <v>JPM</v>
      </c>
      <c r="B5">
        <f ca="1"/>
        <v>1.907121274375519E-3</v>
      </c>
      <c r="C5">
        <f ca="1"/>
        <v>9.5875638840034862E-4</v>
      </c>
      <c r="D5">
        <f ca="1"/>
        <v>5.8282646347066844E-3</v>
      </c>
      <c r="E5">
        <f ca="1"/>
        <v>1.1135458719764145E-3</v>
      </c>
      <c r="F5">
        <f ca="1"/>
        <v>5.6669805901782867E-3</v>
      </c>
      <c r="H5">
        <f ca="1"/>
        <v>-61.595958006351914</v>
      </c>
      <c r="I5">
        <f ca="1"/>
        <v>-72.066710094340522</v>
      </c>
      <c r="J5">
        <f ca="1"/>
        <v>333.38689698505658</v>
      </c>
      <c r="K5">
        <f ca="1"/>
        <v>3.7387162588875751</v>
      </c>
      <c r="L5">
        <f ca="1"/>
        <v>-134.22754863923939</v>
      </c>
      <c r="M5" s="53"/>
      <c r="N5" s="53"/>
      <c r="O5" s="53"/>
      <c r="P5" s="53"/>
      <c r="Q5" s="53"/>
      <c r="R5" s="53"/>
      <c r="S5" s="53"/>
      <c r="T5" s="53"/>
      <c r="U5" s="53"/>
      <c r="V5" s="53"/>
    </row>
    <row r="6" spans="1:22" x14ac:dyDescent="0.25">
      <c r="A6" s="61" t="str">
        <f>E2</f>
        <v>MRK</v>
      </c>
      <c r="B6">
        <f ca="1"/>
        <v>8.56137154874366E-5</v>
      </c>
      <c r="C6">
        <f ca="1"/>
        <v>1.0411940901038459E-3</v>
      </c>
      <c r="D6">
        <f ca="1"/>
        <v>1.1135458719764145E-3</v>
      </c>
      <c r="E6">
        <f ca="1"/>
        <v>3.6637646235815374E-3</v>
      </c>
      <c r="F6">
        <f ca="1"/>
        <v>2.2695079430156322E-3</v>
      </c>
      <c r="H6">
        <f ca="1"/>
        <v>45.650843695674055</v>
      </c>
      <c r="I6">
        <f ca="1"/>
        <v>-228.32714495139135</v>
      </c>
      <c r="J6">
        <f ca="1"/>
        <v>3.7387162588875782</v>
      </c>
      <c r="K6">
        <f ca="1"/>
        <v>368.44447392906778</v>
      </c>
      <c r="L6">
        <f ca="1"/>
        <v>-52.97735404375544</v>
      </c>
      <c r="M6" s="53"/>
      <c r="N6" s="53"/>
      <c r="O6" s="53"/>
      <c r="P6" s="53"/>
      <c r="Q6" s="53"/>
      <c r="R6" s="53"/>
      <c r="S6" s="53"/>
      <c r="T6" s="53"/>
      <c r="U6" s="53"/>
      <c r="V6" s="53"/>
    </row>
    <row r="7" spans="1:22" x14ac:dyDescent="0.25">
      <c r="A7" s="61" t="str">
        <f>F2</f>
        <v>SLB</v>
      </c>
      <c r="B7">
        <f ca="1"/>
        <v>1.6660367643026855E-3</v>
      </c>
      <c r="C7">
        <f ca="1"/>
        <v>1.12520997278241E-3</v>
      </c>
      <c r="D7">
        <f ca="1"/>
        <v>5.6669805901782867E-3</v>
      </c>
      <c r="E7">
        <f ca="1"/>
        <v>2.2695079430156322E-3</v>
      </c>
      <c r="F7">
        <f ca="1"/>
        <v>1.2769888345442305E-2</v>
      </c>
      <c r="H7">
        <f ca="1"/>
        <v>1.1978713855393608</v>
      </c>
      <c r="I7">
        <f ca="1"/>
        <v>11.338004646465889</v>
      </c>
      <c r="J7">
        <f ca="1"/>
        <v>-134.22754863923942</v>
      </c>
      <c r="K7">
        <f ca="1"/>
        <v>-52.977354043755433</v>
      </c>
      <c r="L7">
        <f ca="1"/>
        <v>146.1362898765837</v>
      </c>
      <c r="M7" s="53"/>
      <c r="N7" s="53"/>
      <c r="O7" s="53"/>
      <c r="P7" s="53"/>
      <c r="Q7" s="53"/>
      <c r="R7" s="53"/>
      <c r="S7" s="53"/>
      <c r="T7" s="53"/>
      <c r="U7" s="53"/>
      <c r="V7" s="53"/>
    </row>
    <row r="8" spans="1:22" x14ac:dyDescent="0.25">
      <c r="A8" s="42"/>
      <c r="M8" s="53"/>
      <c r="N8" s="53"/>
      <c r="O8" s="53"/>
      <c r="P8" s="53"/>
      <c r="Q8" s="53"/>
      <c r="R8" s="53"/>
      <c r="S8" s="53"/>
      <c r="T8" s="53"/>
      <c r="U8" s="53"/>
      <c r="V8" s="53"/>
    </row>
    <row r="9" spans="1:22" x14ac:dyDescent="0.25">
      <c r="A9" s="60" t="s">
        <v>106</v>
      </c>
      <c r="H9" s="72" t="s">
        <v>105</v>
      </c>
      <c r="I9" s="72"/>
      <c r="J9" s="72"/>
      <c r="K9" s="72"/>
      <c r="M9" s="53"/>
      <c r="N9" s="53"/>
      <c r="O9" s="53"/>
      <c r="P9" s="53"/>
      <c r="Q9" s="53"/>
      <c r="R9" s="53"/>
      <c r="S9" s="53"/>
      <c r="T9" s="53"/>
      <c r="U9" s="53"/>
      <c r="V9" s="53"/>
    </row>
    <row r="10" spans="1:22" x14ac:dyDescent="0.25">
      <c r="A10" s="59">
        <v>1</v>
      </c>
      <c r="H10" s="58" cm="1">
        <f t="array" aca="1" ref="H10:H14" ca="1">MMULT(_xlfn.ANCHORARRAY(H3),A10:A14)</f>
        <v>86.030331856369543</v>
      </c>
      <c r="M10" s="53"/>
      <c r="N10" s="53"/>
      <c r="O10" s="53"/>
      <c r="P10" s="53"/>
      <c r="Q10" s="53"/>
      <c r="R10" s="53"/>
      <c r="S10" s="53"/>
      <c r="T10" s="53"/>
      <c r="U10" s="53"/>
      <c r="V10" s="53"/>
    </row>
    <row r="11" spans="1:22" x14ac:dyDescent="0.25">
      <c r="A11" s="59">
        <v>1</v>
      </c>
      <c r="H11" s="58">
        <f ca="1"/>
        <v>461.08696830252683</v>
      </c>
      <c r="M11" s="53"/>
      <c r="N11" s="53"/>
      <c r="O11" s="53"/>
      <c r="P11" s="53"/>
      <c r="Q11" s="53"/>
      <c r="R11" s="53"/>
      <c r="S11" s="53"/>
      <c r="T11" s="53"/>
      <c r="U11" s="53"/>
      <c r="V11" s="53"/>
    </row>
    <row r="12" spans="1:22" x14ac:dyDescent="0.25">
      <c r="A12" s="59">
        <v>1</v>
      </c>
      <c r="H12" s="58">
        <f ca="1"/>
        <v>69.235396504012328</v>
      </c>
      <c r="M12" s="53"/>
      <c r="N12" s="53"/>
      <c r="O12" s="53"/>
      <c r="P12" s="53"/>
      <c r="Q12" s="53"/>
      <c r="R12" s="53"/>
      <c r="S12" s="53"/>
      <c r="T12" s="53"/>
      <c r="U12" s="53"/>
      <c r="V12" s="53"/>
    </row>
    <row r="13" spans="1:22" x14ac:dyDescent="0.25">
      <c r="A13" s="59">
        <v>1</v>
      </c>
      <c r="H13" s="58">
        <f ca="1"/>
        <v>136.5295348884826</v>
      </c>
    </row>
    <row r="14" spans="1:22" x14ac:dyDescent="0.25">
      <c r="A14" s="59">
        <v>1</v>
      </c>
      <c r="H14" s="58">
        <f ca="1"/>
        <v>-28.53273677440589</v>
      </c>
      <c r="M14" s="57"/>
      <c r="N14" s="57"/>
      <c r="O14" s="57"/>
      <c r="P14" s="57"/>
    </row>
    <row r="15" spans="1:22" x14ac:dyDescent="0.25">
      <c r="A15" s="42"/>
      <c r="H15" s="53"/>
      <c r="M15" s="53"/>
    </row>
    <row r="16" spans="1:22" x14ac:dyDescent="0.25">
      <c r="A16" s="53"/>
      <c r="H16" s="53"/>
      <c r="M16" s="53"/>
    </row>
    <row r="17" spans="1:16" x14ac:dyDescent="0.25">
      <c r="A17" s="53"/>
      <c r="M17" s="53"/>
    </row>
    <row r="18" spans="1:16" x14ac:dyDescent="0.25">
      <c r="A18" s="53"/>
      <c r="H18" s="54" t="s">
        <v>104</v>
      </c>
      <c r="I18" s="54"/>
      <c r="J18" s="54"/>
      <c r="K18" s="54"/>
      <c r="M18" s="53"/>
    </row>
    <row r="19" spans="1:16" x14ac:dyDescent="0.25">
      <c r="A19" s="53"/>
      <c r="H19" s="56">
        <f ca="1">SUMPRODUCT(A10:A14,_xlfn.ANCHORARRAY(H10))</f>
        <v>724.34949477698535</v>
      </c>
      <c r="M19" s="53"/>
    </row>
    <row r="20" spans="1:16" x14ac:dyDescent="0.25">
      <c r="A20" s="53"/>
      <c r="H20" s="55"/>
      <c r="M20" s="53"/>
    </row>
    <row r="21" spans="1:16" x14ac:dyDescent="0.25">
      <c r="A21" s="53"/>
      <c r="M21" s="53"/>
    </row>
    <row r="22" spans="1:16" x14ac:dyDescent="0.25">
      <c r="A22" s="53"/>
      <c r="H22" s="54" t="s">
        <v>103</v>
      </c>
      <c r="I22" s="54"/>
      <c r="J22" s="54"/>
      <c r="K22" s="54"/>
      <c r="M22" s="53"/>
    </row>
    <row r="23" spans="1:16" x14ac:dyDescent="0.25">
      <c r="A23" s="53"/>
      <c r="H23" s="48" t="str">
        <f>B2</f>
        <v>AAPL</v>
      </c>
      <c r="I23" s="51">
        <f ca="1">H10/$H$19</f>
        <v>0.11876909209808559</v>
      </c>
      <c r="M23" s="53"/>
    </row>
    <row r="24" spans="1:16" x14ac:dyDescent="0.25">
      <c r="A24" s="53"/>
      <c r="H24" s="48" t="str">
        <f>C2</f>
        <v xml:space="preserve">KO </v>
      </c>
      <c r="I24" s="51">
        <f ca="1">H11/$H$19</f>
        <v>0.63655317167645364</v>
      </c>
      <c r="M24" s="53"/>
    </row>
    <row r="25" spans="1:16" x14ac:dyDescent="0.25">
      <c r="H25" s="48" t="str">
        <f>D2</f>
        <v>JPM</v>
      </c>
      <c r="I25" s="51">
        <f ca="1">H12/$H$19</f>
        <v>9.558286021215312E-2</v>
      </c>
    </row>
    <row r="26" spans="1:16" x14ac:dyDescent="0.25">
      <c r="H26" s="48" t="str">
        <f>E2</f>
        <v>MRK</v>
      </c>
      <c r="I26" s="51">
        <f ca="1">H13/$H$19</f>
        <v>0.18848571839001238</v>
      </c>
      <c r="M26" s="52"/>
      <c r="N26" s="52"/>
      <c r="O26" s="52"/>
      <c r="P26" s="52"/>
    </row>
    <row r="27" spans="1:16" x14ac:dyDescent="0.25">
      <c r="H27" s="48" t="str">
        <f>F2</f>
        <v>SLB</v>
      </c>
      <c r="I27" s="51">
        <f ca="1">H14/$H$19</f>
        <v>-3.939084237670467E-2</v>
      </c>
      <c r="M27" s="53"/>
    </row>
    <row r="28" spans="1:16" x14ac:dyDescent="0.25">
      <c r="H28" s="42"/>
      <c r="I28" s="46"/>
      <c r="M28" s="53"/>
    </row>
    <row r="29" spans="1:16" x14ac:dyDescent="0.25">
      <c r="H29" s="42"/>
      <c r="I29" s="46"/>
    </row>
    <row r="30" spans="1:16" x14ac:dyDescent="0.25">
      <c r="H30" s="42"/>
      <c r="I30" s="46"/>
      <c r="M30" s="52"/>
      <c r="N30" s="52"/>
      <c r="O30" s="52"/>
      <c r="P30" s="52"/>
    </row>
    <row r="31" spans="1:16" x14ac:dyDescent="0.25">
      <c r="H31" s="42"/>
      <c r="I31" s="46"/>
      <c r="M31" s="42"/>
      <c r="N31" s="46"/>
    </row>
    <row r="32" spans="1:16" x14ac:dyDescent="0.25">
      <c r="H32" s="42"/>
      <c r="I32" s="46"/>
      <c r="M32" s="42"/>
      <c r="N32" s="46"/>
    </row>
    <row r="33" spans="8:14" x14ac:dyDescent="0.25">
      <c r="M33" s="42"/>
      <c r="N33" s="46"/>
    </row>
    <row r="34" spans="8:14" x14ac:dyDescent="0.25">
      <c r="H34" s="48" t="s">
        <v>102</v>
      </c>
      <c r="I34" s="51">
        <f ca="1">SUM(I23:I27)</f>
        <v>1.0000000000000002</v>
      </c>
      <c r="K34" s="50" t="s">
        <v>101</v>
      </c>
      <c r="L34">
        <f ca="1">SUMPRODUCT(I23:I27,MMULT(_xlfn.ANCHORARRAY(B3),I23:I27))</f>
        <v>1.3805490404985824E-3</v>
      </c>
      <c r="M34" s="42"/>
      <c r="N34" s="46"/>
    </row>
    <row r="35" spans="8:14" x14ac:dyDescent="0.25">
      <c r="K35" s="50" t="s">
        <v>100</v>
      </c>
      <c r="L35" s="49">
        <f ca="1">SQRT(L34)</f>
        <v>3.7155740343836272E-2</v>
      </c>
      <c r="M35" s="42"/>
      <c r="N35" s="46"/>
    </row>
    <row r="36" spans="8:14" x14ac:dyDescent="0.25">
      <c r="H36" s="48" t="s">
        <v>99</v>
      </c>
      <c r="I36" s="47">
        <f ca="1">SUMIF(I23:I27,"&lt;0")</f>
        <v>-3.939084237670467E-2</v>
      </c>
      <c r="M36" s="42"/>
      <c r="N36" s="46"/>
    </row>
    <row r="37" spans="8:14" x14ac:dyDescent="0.25">
      <c r="M37" s="42"/>
      <c r="N37" s="46"/>
    </row>
    <row r="38" spans="8:14" x14ac:dyDescent="0.25">
      <c r="M38" s="42"/>
      <c r="N38" s="46"/>
    </row>
    <row r="39" spans="8:14" x14ac:dyDescent="0.25">
      <c r="M39" s="42"/>
      <c r="N39" s="46"/>
    </row>
    <row r="40" spans="8:14" x14ac:dyDescent="0.25">
      <c r="M40" s="42"/>
      <c r="N40" s="46"/>
    </row>
    <row r="42" spans="8:14" x14ac:dyDescent="0.25">
      <c r="M42" s="42"/>
      <c r="N42" s="46"/>
    </row>
    <row r="44" spans="8:14" x14ac:dyDescent="0.25">
      <c r="M44" s="42"/>
      <c r="N44" s="45"/>
    </row>
  </sheetData>
  <mergeCells count="4">
    <mergeCell ref="A1:F1"/>
    <mergeCell ref="M1:Q1"/>
    <mergeCell ref="H2:L2"/>
    <mergeCell ref="H9:K9"/>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82F1F-BADA-4724-9D59-8B90867C0B14}">
  <dimension ref="A1:M83"/>
  <sheetViews>
    <sheetView topLeftCell="B9" zoomScale="99" workbookViewId="0">
      <selection activeCell="K29" sqref="K29"/>
    </sheetView>
  </sheetViews>
  <sheetFormatPr defaultColWidth="11.42578125" defaultRowHeight="15" x14ac:dyDescent="0.25"/>
  <cols>
    <col min="1" max="1" width="27" customWidth="1"/>
    <col min="12" max="12" width="17.85546875" customWidth="1"/>
    <col min="13" max="13" width="19" customWidth="1"/>
  </cols>
  <sheetData>
    <row r="1" spans="1:13" x14ac:dyDescent="0.25">
      <c r="A1" s="67" t="s">
        <v>126</v>
      </c>
      <c r="C1" s="73" t="s">
        <v>125</v>
      </c>
      <c r="D1" s="73"/>
      <c r="E1" s="73"/>
      <c r="L1" s="69" t="s">
        <v>124</v>
      </c>
      <c r="M1" s="69"/>
    </row>
    <row r="2" spans="1:13" x14ac:dyDescent="0.25">
      <c r="A2" s="37" t="s">
        <v>123</v>
      </c>
      <c r="C2" s="65" t="s">
        <v>122</v>
      </c>
      <c r="H2" s="65" t="s">
        <v>121</v>
      </c>
      <c r="L2" s="66" t="s">
        <v>120</v>
      </c>
      <c r="M2" s="66" t="s">
        <v>119</v>
      </c>
    </row>
    <row r="3" spans="1:13" x14ac:dyDescent="0.25">
      <c r="A3" s="62">
        <f ca="1">'Stock Data'!V2</f>
        <v>9.9322663605909637E-3</v>
      </c>
      <c r="C3" s="38">
        <f ca="1">SUM(A17:A21)</f>
        <v>724.34949477698535</v>
      </c>
      <c r="D3" t="str">
        <f ca="1">_xlfn.FORMULATEXT(C3)</f>
        <v>=SUM(A17:A21)</v>
      </c>
      <c r="H3" s="38">
        <f ca="1">C6/C3</f>
        <v>4.7981640724631359E-3</v>
      </c>
      <c r="I3" t="str">
        <f ca="1">_xlfn.FORMULATEXT(H3)</f>
        <v>=C6/C3</v>
      </c>
      <c r="L3" s="39">
        <f ca="1">C14</f>
        <v>3.7155740343836272E-2</v>
      </c>
      <c r="M3" s="62">
        <f t="shared" ref="M3:M34" ca="1" si="0">H$3+SQRT(H$6)*SQRT(L3^2-H$9)</f>
        <v>4.7981640724631359E-3</v>
      </c>
    </row>
    <row r="4" spans="1:13" x14ac:dyDescent="0.25">
      <c r="A4" s="62">
        <f ca="1">'Stock Data'!W2</f>
        <v>2.0445707371839288E-3</v>
      </c>
      <c r="L4" s="39">
        <f t="shared" ref="L4:L35" ca="1" si="1">L3+0.001</f>
        <v>3.8155740343836272E-2</v>
      </c>
      <c r="M4" s="62">
        <f t="shared" ca="1" si="0"/>
        <v>7.2248010415238931E-3</v>
      </c>
    </row>
    <row r="5" spans="1:13" x14ac:dyDescent="0.25">
      <c r="A5" s="62">
        <f ca="1">'Stock Data'!X2</f>
        <v>1.9738135159064311E-2</v>
      </c>
      <c r="C5" s="65" t="s">
        <v>118</v>
      </c>
      <c r="H5" s="65" t="s">
        <v>117</v>
      </c>
      <c r="L5" s="39">
        <f t="shared" ca="1" si="1"/>
        <v>3.9155740343836273E-2</v>
      </c>
      <c r="M5" s="62">
        <f t="shared" ca="1" si="0"/>
        <v>8.2526557801059098E-3</v>
      </c>
    </row>
    <row r="6" spans="1:13" x14ac:dyDescent="0.25">
      <c r="A6" s="62">
        <f ca="1">'Stock Data'!Y2</f>
        <v>3.6610838124930944E-3</v>
      </c>
      <c r="C6" s="38">
        <f ca="1">SUM(A10:A14)</f>
        <v>3.4755477217457553</v>
      </c>
      <c r="D6" t="str">
        <f ca="1">_xlfn.FORMULATEXT(C6)</f>
        <v>=SUM(A10:A14)</v>
      </c>
      <c r="H6" s="38">
        <f ca="1">C9-C6^2/C3</f>
        <v>7.8189499473966001E-2</v>
      </c>
      <c r="I6" t="str">
        <f ca="1">_xlfn.FORMULATEXT(H6)</f>
        <v>=C9-C6^2/C3</v>
      </c>
      <c r="L6" s="39">
        <f t="shared" ca="1" si="1"/>
        <v>4.0155740343836274E-2</v>
      </c>
      <c r="M6" s="62">
        <f t="shared" ca="1" si="0"/>
        <v>9.0566659141535812E-3</v>
      </c>
    </row>
    <row r="7" spans="1:13" x14ac:dyDescent="0.25">
      <c r="A7" s="62">
        <f ca="1">'Stock Data'!Z2</f>
        <v>6.5916234258217429E-3</v>
      </c>
      <c r="L7" s="39">
        <f t="shared" ca="1" si="1"/>
        <v>4.1155740343836275E-2</v>
      </c>
      <c r="M7" s="62">
        <f t="shared" ca="1" si="0"/>
        <v>9.7471581027825417E-3</v>
      </c>
    </row>
    <row r="8" spans="1:13" x14ac:dyDescent="0.25">
      <c r="C8" s="65" t="s">
        <v>116</v>
      </c>
      <c r="H8" s="65" t="s">
        <v>115</v>
      </c>
      <c r="L8" s="39">
        <f t="shared" ca="1" si="1"/>
        <v>4.2155740343836276E-2</v>
      </c>
      <c r="M8" s="62">
        <f t="shared" ca="1" si="0"/>
        <v>1.0366523335975254E-2</v>
      </c>
    </row>
    <row r="9" spans="1:13" x14ac:dyDescent="0.25">
      <c r="A9" s="37" t="s">
        <v>114</v>
      </c>
      <c r="C9" s="38">
        <f ca="1">SUMPRODUCT(A3:A7,A10:A14)</f>
        <v>9.4865747684577589E-2</v>
      </c>
      <c r="D9" t="str">
        <f ca="1">_xlfn.FORMULATEXT(C9)</f>
        <v>=SUMPRODUCT(A3:A7;A10:A14)</v>
      </c>
      <c r="H9" s="38">
        <f ca="1">1/C3</f>
        <v>1.3805490404985824E-3</v>
      </c>
      <c r="I9" t="str">
        <f ca="1">_xlfn.FORMULATEXT(H9)</f>
        <v>=1/C3</v>
      </c>
      <c r="L9" s="39">
        <f t="shared" ca="1" si="1"/>
        <v>4.3155740343836277E-2</v>
      </c>
      <c r="M9" s="62">
        <f t="shared" ca="1" si="0"/>
        <v>1.0936330481244608E-2</v>
      </c>
    </row>
    <row r="10" spans="1:13" x14ac:dyDescent="0.25">
      <c r="A10" s="38" cm="1">
        <f t="array" aca="1" ref="A10:A14" ca="1">MMULT(_xlfn.ANCHORARRAY('Minimum Variance Portfolio'!H3),'Efficient Frontier'!A3:A7)</f>
        <v>0.8682534634125697</v>
      </c>
      <c r="L10" s="39">
        <f t="shared" ca="1" si="1"/>
        <v>4.4155740343836278E-2</v>
      </c>
      <c r="M10" s="62">
        <f t="shared" ca="1" si="0"/>
        <v>1.146929050172478E-2</v>
      </c>
    </row>
    <row r="11" spans="1:13" x14ac:dyDescent="0.25">
      <c r="A11" s="38">
        <f ca="1"/>
        <v>-1.5579969757121785</v>
      </c>
      <c r="L11" s="39">
        <f t="shared" ca="1" si="1"/>
        <v>4.5155740343836279E-2</v>
      </c>
      <c r="M11" s="62">
        <f t="shared" ca="1" si="0"/>
        <v>1.1973618609106869E-2</v>
      </c>
    </row>
    <row r="12" spans="1:13" x14ac:dyDescent="0.25">
      <c r="A12" s="38">
        <f ca="1"/>
        <v>4.9502129842871074</v>
      </c>
      <c r="C12" s="64" t="s">
        <v>113</v>
      </c>
      <c r="L12" s="39">
        <f t="shared" ca="1" si="1"/>
        <v>4.615574034383628E-2</v>
      </c>
      <c r="M12" s="62">
        <f t="shared" ca="1" si="0"/>
        <v>1.2454974555858749E-2</v>
      </c>
    </row>
    <row r="13" spans="1:13" x14ac:dyDescent="0.25">
      <c r="A13" s="38">
        <f ca="1"/>
        <v>1.0600799582894593</v>
      </c>
      <c r="C13" t="s">
        <v>112</v>
      </c>
      <c r="L13" s="39">
        <f t="shared" ca="1" si="1"/>
        <v>4.715574034383628E-2</v>
      </c>
      <c r="M13" s="62">
        <f t="shared" ca="1" si="0"/>
        <v>1.2917445121224825E-2</v>
      </c>
    </row>
    <row r="14" spans="1:13" x14ac:dyDescent="0.25">
      <c r="A14" s="38">
        <f ca="1"/>
        <v>-1.8450017085312027</v>
      </c>
      <c r="C14" s="39">
        <f ca="1">1 / SQRT(C3)</f>
        <v>3.7155740343836272E-2</v>
      </c>
      <c r="D14" t="str">
        <f ca="1">_xlfn.FORMULATEXT(C14)</f>
        <v>=1 / SQRT(C3)</v>
      </c>
      <c r="L14" s="39">
        <f t="shared" ca="1" si="1"/>
        <v>4.8155740343836281E-2</v>
      </c>
      <c r="M14" s="62">
        <f t="shared" ca="1" si="0"/>
        <v>1.3364089691908616E-2</v>
      </c>
    </row>
    <row r="15" spans="1:13" x14ac:dyDescent="0.25">
      <c r="L15" s="39">
        <f t="shared" ca="1" si="1"/>
        <v>4.9155740343836282E-2</v>
      </c>
      <c r="M15" s="62">
        <f t="shared" ca="1" si="0"/>
        <v>1.3797265010107522E-2</v>
      </c>
    </row>
    <row r="16" spans="1:13" x14ac:dyDescent="0.25">
      <c r="A16" s="37" t="s">
        <v>111</v>
      </c>
      <c r="C16" t="s">
        <v>110</v>
      </c>
      <c r="L16" s="39">
        <f t="shared" ca="1" si="1"/>
        <v>5.0155740343836283E-2</v>
      </c>
      <c r="M16" s="62">
        <f t="shared" ca="1" si="0"/>
        <v>1.4218829264099002E-2</v>
      </c>
    </row>
    <row r="17" spans="1:13" x14ac:dyDescent="0.25">
      <c r="A17" s="38" cm="1">
        <f t="array" aca="1" ref="A17:A21" ca="1">_xlfn.ANCHORARRAY('Minimum Variance Portfolio'!H10)</f>
        <v>86.030331856369543</v>
      </c>
      <c r="C17" s="39">
        <f ca="1">C6/C3</f>
        <v>4.7981640724631359E-3</v>
      </c>
      <c r="D17" t="str">
        <f ca="1">_xlfn.FORMULATEXT(C17)</f>
        <v>=C6/C3</v>
      </c>
      <c r="L17" s="39">
        <f t="shared" ca="1" si="1"/>
        <v>5.1155740343836284E-2</v>
      </c>
      <c r="M17" s="62">
        <f t="shared" ca="1" si="0"/>
        <v>1.4630276084581138E-2</v>
      </c>
    </row>
    <row r="18" spans="1:13" x14ac:dyDescent="0.25">
      <c r="A18" s="38">
        <f ca="1"/>
        <v>461.08696830252683</v>
      </c>
      <c r="L18" s="39">
        <f t="shared" ca="1" si="1"/>
        <v>5.2155740343836285E-2</v>
      </c>
      <c r="M18" s="62">
        <f t="shared" ca="1" si="0"/>
        <v>1.5032825746584003E-2</v>
      </c>
    </row>
    <row r="19" spans="1:13" x14ac:dyDescent="0.25">
      <c r="A19" s="38">
        <f ca="1"/>
        <v>69.235396504012328</v>
      </c>
      <c r="C19" t="s">
        <v>109</v>
      </c>
      <c r="L19" s="39">
        <f t="shared" ca="1" si="1"/>
        <v>5.3155740343836286E-2</v>
      </c>
      <c r="M19" s="62">
        <f t="shared" ca="1" si="0"/>
        <v>1.5427489147346769E-2</v>
      </c>
    </row>
    <row r="20" spans="1:13" x14ac:dyDescent="0.25">
      <c r="A20" s="38">
        <f ca="1"/>
        <v>136.5295348884826</v>
      </c>
      <c r="C20" s="63">
        <f ca="1">SQRT(C9)</f>
        <v>0.30800283713722115</v>
      </c>
      <c r="D20" t="str">
        <f ca="1">_xlfn.FORMULATEXT(C20)</f>
        <v>=SQRT(C9)</v>
      </c>
      <c r="L20" s="39">
        <f t="shared" ca="1" si="1"/>
        <v>5.4155740343836287E-2</v>
      </c>
      <c r="M20" s="62">
        <f t="shared" ca="1" si="0"/>
        <v>1.5815113854972321E-2</v>
      </c>
    </row>
    <row r="21" spans="1:13" x14ac:dyDescent="0.25">
      <c r="A21" s="38">
        <f ca="1"/>
        <v>-28.53273677440589</v>
      </c>
      <c r="L21" s="39">
        <f t="shared" ca="1" si="1"/>
        <v>5.5155740343836288E-2</v>
      </c>
      <c r="M21" s="62">
        <f t="shared" ca="1" si="0"/>
        <v>1.6196417994536309E-2</v>
      </c>
    </row>
    <row r="22" spans="1:13" x14ac:dyDescent="0.25">
      <c r="L22" s="39">
        <f t="shared" ca="1" si="1"/>
        <v>5.6155740343836288E-2</v>
      </c>
      <c r="M22" s="62">
        <f t="shared" ca="1" si="0"/>
        <v>1.6572015669656451E-2</v>
      </c>
    </row>
    <row r="23" spans="1:13" x14ac:dyDescent="0.25">
      <c r="L23" s="39">
        <f t="shared" ca="1" si="1"/>
        <v>5.7155740343836289E-2</v>
      </c>
      <c r="M23" s="62">
        <f t="shared" ca="1" si="0"/>
        <v>1.6942436359939018E-2</v>
      </c>
    </row>
    <row r="24" spans="1:13" x14ac:dyDescent="0.25">
      <c r="L24" s="39">
        <f t="shared" ca="1" si="1"/>
        <v>5.815574034383629E-2</v>
      </c>
      <c r="M24" s="62">
        <f t="shared" ca="1" si="0"/>
        <v>1.7308139945778227E-2</v>
      </c>
    </row>
    <row r="25" spans="1:13" x14ac:dyDescent="0.25">
      <c r="L25" s="39">
        <f t="shared" ca="1" si="1"/>
        <v>5.9155740343836291E-2</v>
      </c>
      <c r="M25" s="62">
        <f t="shared" ca="1" si="0"/>
        <v>1.7669528503184716E-2</v>
      </c>
    </row>
    <row r="26" spans="1:13" x14ac:dyDescent="0.25">
      <c r="L26" s="39">
        <f t="shared" ca="1" si="1"/>
        <v>6.0155740343836292E-2</v>
      </c>
      <c r="M26" s="62">
        <f t="shared" ca="1" si="0"/>
        <v>1.8026955675059027E-2</v>
      </c>
    </row>
    <row r="27" spans="1:13" x14ac:dyDescent="0.25">
      <c r="L27" s="39">
        <f t="shared" ca="1" si="1"/>
        <v>6.1155740343836293E-2</v>
      </c>
      <c r="M27" s="62">
        <f t="shared" ca="1" si="0"/>
        <v>1.8380734198191417E-2</v>
      </c>
    </row>
    <row r="28" spans="1:13" x14ac:dyDescent="0.25">
      <c r="L28" s="39">
        <f t="shared" ca="1" si="1"/>
        <v>6.2155740343836294E-2</v>
      </c>
      <c r="M28" s="62">
        <f t="shared" ca="1" si="0"/>
        <v>1.8731142008808585E-2</v>
      </c>
    </row>
    <row r="29" spans="1:13" x14ac:dyDescent="0.25">
      <c r="L29" s="39">
        <f t="shared" ca="1" si="1"/>
        <v>6.3155740343836295E-2</v>
      </c>
      <c r="M29" s="62">
        <f t="shared" ca="1" si="0"/>
        <v>1.9078427239786061E-2</v>
      </c>
    </row>
    <row r="30" spans="1:13" x14ac:dyDescent="0.25">
      <c r="L30" s="39">
        <f t="shared" ca="1" si="1"/>
        <v>6.4155740343836296E-2</v>
      </c>
      <c r="M30" s="62">
        <f t="shared" ca="1" si="0"/>
        <v>1.9422812344481798E-2</v>
      </c>
    </row>
    <row r="31" spans="1:13" x14ac:dyDescent="0.25">
      <c r="L31" s="39">
        <f t="shared" ca="1" si="1"/>
        <v>6.5155740343836296E-2</v>
      </c>
      <c r="M31" s="62">
        <f t="shared" ca="1" si="0"/>
        <v>1.9764497525632786E-2</v>
      </c>
    </row>
    <row r="32" spans="1:13" x14ac:dyDescent="0.25">
      <c r="L32" s="39">
        <f t="shared" ca="1" si="1"/>
        <v>6.6155740343836297E-2</v>
      </c>
      <c r="M32" s="62">
        <f t="shared" ca="1" si="0"/>
        <v>2.0103663606343743E-2</v>
      </c>
    </row>
    <row r="33" spans="12:13" x14ac:dyDescent="0.25">
      <c r="L33" s="39">
        <f t="shared" ca="1" si="1"/>
        <v>6.7155740343836298E-2</v>
      </c>
      <c r="M33" s="62">
        <f t="shared" ca="1" si="0"/>
        <v>2.0440474449473365E-2</v>
      </c>
    </row>
    <row r="34" spans="12:13" x14ac:dyDescent="0.25">
      <c r="L34" s="39">
        <f t="shared" ca="1" si="1"/>
        <v>6.8155740343836299E-2</v>
      </c>
      <c r="M34" s="62">
        <f t="shared" ca="1" si="0"/>
        <v>2.0775079008669445E-2</v>
      </c>
    </row>
    <row r="35" spans="12:13" x14ac:dyDescent="0.25">
      <c r="L35" s="39">
        <f t="shared" ca="1" si="1"/>
        <v>6.91557403438363E-2</v>
      </c>
      <c r="M35" s="62">
        <f t="shared" ref="M35:M66" ca="1" si="2">H$3+SQRT(H$6)*SQRT(L35^2-H$9)</f>
        <v>2.1107613076821637E-2</v>
      </c>
    </row>
    <row r="36" spans="12:13" x14ac:dyDescent="0.25">
      <c r="L36" s="39">
        <f t="shared" ref="L36:L67" ca="1" si="3">L35+0.001</f>
        <v>7.0155740343836301E-2</v>
      </c>
      <c r="M36" s="62">
        <f t="shared" ca="1" si="2"/>
        <v>2.1438200784313164E-2</v>
      </c>
    </row>
    <row r="37" spans="12:13" x14ac:dyDescent="0.25">
      <c r="L37" s="39">
        <f t="shared" ca="1" si="3"/>
        <v>7.1155740343836302E-2</v>
      </c>
      <c r="M37" s="62">
        <f t="shared" ca="1" si="2"/>
        <v>2.1766955889107327E-2</v>
      </c>
    </row>
    <row r="38" spans="12:13" x14ac:dyDescent="0.25">
      <c r="L38" s="39">
        <f t="shared" ca="1" si="3"/>
        <v>7.2155740343836303E-2</v>
      </c>
      <c r="M38" s="62">
        <f t="shared" ca="1" si="2"/>
        <v>2.2093982892641986E-2</v>
      </c>
    </row>
    <row r="39" spans="12:13" x14ac:dyDescent="0.25">
      <c r="L39" s="39">
        <f t="shared" ca="1" si="3"/>
        <v>7.3155740343836304E-2</v>
      </c>
      <c r="M39" s="62">
        <f t="shared" ca="1" si="2"/>
        <v>2.2419378009171438E-2</v>
      </c>
    </row>
    <row r="40" spans="12:13" x14ac:dyDescent="0.25">
      <c r="L40" s="39">
        <f t="shared" ca="1" si="3"/>
        <v>7.4155740343836304E-2</v>
      </c>
      <c r="M40" s="62">
        <f t="shared" ca="1" si="2"/>
        <v>2.274323001118236E-2</v>
      </c>
    </row>
    <row r="41" spans="12:13" x14ac:dyDescent="0.25">
      <c r="L41" s="39">
        <f t="shared" ca="1" si="3"/>
        <v>7.5155740343836305E-2</v>
      </c>
      <c r="M41" s="62">
        <f t="shared" ca="1" si="2"/>
        <v>2.3065620969515522E-2</v>
      </c>
    </row>
    <row r="42" spans="12:13" x14ac:dyDescent="0.25">
      <c r="L42" s="39">
        <f t="shared" ca="1" si="3"/>
        <v>7.6155740343836306E-2</v>
      </c>
      <c r="M42" s="62">
        <f t="shared" ca="1" si="2"/>
        <v>2.3386626903620009E-2</v>
      </c>
    </row>
    <row r="43" spans="12:13" x14ac:dyDescent="0.25">
      <c r="L43" s="39">
        <f t="shared" ca="1" si="3"/>
        <v>7.7155740343836307E-2</v>
      </c>
      <c r="M43" s="62">
        <f t="shared" ca="1" si="2"/>
        <v>2.3706318354779595E-2</v>
      </c>
    </row>
    <row r="44" spans="12:13" x14ac:dyDescent="0.25">
      <c r="L44" s="39">
        <f t="shared" ca="1" si="3"/>
        <v>7.8155740343836308E-2</v>
      </c>
      <c r="M44" s="62">
        <f t="shared" ca="1" si="2"/>
        <v>2.4024760893050289E-2</v>
      </c>
    </row>
    <row r="45" spans="12:13" x14ac:dyDescent="0.25">
      <c r="L45" s="39">
        <f t="shared" ca="1" si="3"/>
        <v>7.9155740343836309E-2</v>
      </c>
      <c r="M45" s="62">
        <f t="shared" ca="1" si="2"/>
        <v>2.4342015566932936E-2</v>
      </c>
    </row>
    <row r="46" spans="12:13" x14ac:dyDescent="0.25">
      <c r="L46" s="39">
        <f t="shared" ca="1" si="3"/>
        <v>8.015574034383631E-2</v>
      </c>
      <c r="M46" s="62">
        <f t="shared" ca="1" si="2"/>
        <v>2.4658139303397213E-2</v>
      </c>
    </row>
    <row r="47" spans="12:13" x14ac:dyDescent="0.25">
      <c r="L47" s="39">
        <f t="shared" ca="1" si="3"/>
        <v>8.1155740343836311E-2</v>
      </c>
      <c r="M47" s="62">
        <f t="shared" ca="1" si="2"/>
        <v>2.4973185264711945E-2</v>
      </c>
    </row>
    <row r="48" spans="12:13" x14ac:dyDescent="0.25">
      <c r="L48" s="39">
        <f t="shared" ca="1" si="3"/>
        <v>8.2155740343836312E-2</v>
      </c>
      <c r="M48" s="62">
        <f t="shared" ca="1" si="2"/>
        <v>2.5287203167574698E-2</v>
      </c>
    </row>
    <row r="49" spans="12:13" x14ac:dyDescent="0.25">
      <c r="L49" s="39">
        <f t="shared" ca="1" si="3"/>
        <v>8.3155740343836312E-2</v>
      </c>
      <c r="M49" s="62">
        <f t="shared" ca="1" si="2"/>
        <v>2.5600239569232186E-2</v>
      </c>
    </row>
    <row r="50" spans="12:13" x14ac:dyDescent="0.25">
      <c r="L50" s="39">
        <f t="shared" ca="1" si="3"/>
        <v>8.4155740343836313E-2</v>
      </c>
      <c r="M50" s="62">
        <f t="shared" ca="1" si="2"/>
        <v>2.5912338124613427E-2</v>
      </c>
    </row>
    <row r="51" spans="12:13" x14ac:dyDescent="0.25">
      <c r="L51" s="39">
        <f t="shared" ca="1" si="3"/>
        <v>8.5155740343836314E-2</v>
      </c>
      <c r="M51" s="62">
        <f t="shared" ca="1" si="2"/>
        <v>2.6223539817935182E-2</v>
      </c>
    </row>
    <row r="52" spans="12:13" x14ac:dyDescent="0.25">
      <c r="L52" s="39">
        <f t="shared" ca="1" si="3"/>
        <v>8.6155740343836315E-2</v>
      </c>
      <c r="M52" s="62">
        <f t="shared" ca="1" si="2"/>
        <v>2.6533883171765436E-2</v>
      </c>
    </row>
    <row r="53" spans="12:13" x14ac:dyDescent="0.25">
      <c r="L53" s="39">
        <f t="shared" ca="1" si="3"/>
        <v>8.7155740343836316E-2</v>
      </c>
      <c r="M53" s="62">
        <f t="shared" ca="1" si="2"/>
        <v>2.6843404436129755E-2</v>
      </c>
    </row>
    <row r="54" spans="12:13" x14ac:dyDescent="0.25">
      <c r="L54" s="39">
        <f t="shared" ca="1" si="3"/>
        <v>8.8155740343836317E-2</v>
      </c>
      <c r="M54" s="62">
        <f t="shared" ca="1" si="2"/>
        <v>2.7152137759905038E-2</v>
      </c>
    </row>
    <row r="55" spans="12:13" x14ac:dyDescent="0.25">
      <c r="L55" s="39">
        <f t="shared" ca="1" si="3"/>
        <v>8.9155740343836318E-2</v>
      </c>
      <c r="M55" s="62">
        <f t="shared" ca="1" si="2"/>
        <v>2.7460115346455451E-2</v>
      </c>
    </row>
    <row r="56" spans="12:13" x14ac:dyDescent="0.25">
      <c r="L56" s="39">
        <f t="shared" ca="1" si="3"/>
        <v>9.0155740343836319E-2</v>
      </c>
      <c r="M56" s="62">
        <f t="shared" ca="1" si="2"/>
        <v>2.7767367595217397E-2</v>
      </c>
    </row>
    <row r="57" spans="12:13" x14ac:dyDescent="0.25">
      <c r="L57" s="39">
        <f t="shared" ca="1" si="3"/>
        <v>9.115574034383632E-2</v>
      </c>
      <c r="M57" s="62">
        <f t="shared" ca="1" si="2"/>
        <v>2.8073923230728191E-2</v>
      </c>
    </row>
    <row r="58" spans="12:13" x14ac:dyDescent="0.25">
      <c r="L58" s="39">
        <f t="shared" ca="1" si="3"/>
        <v>9.215574034383632E-2</v>
      </c>
      <c r="M58" s="62">
        <f t="shared" ca="1" si="2"/>
        <v>2.8379809420410348E-2</v>
      </c>
    </row>
    <row r="59" spans="12:13" x14ac:dyDescent="0.25">
      <c r="L59" s="39">
        <f t="shared" ca="1" si="3"/>
        <v>9.3155740343836321E-2</v>
      </c>
      <c r="M59" s="62">
        <f t="shared" ca="1" si="2"/>
        <v>2.8685051882266006E-2</v>
      </c>
    </row>
    <row r="60" spans="12:13" x14ac:dyDescent="0.25">
      <c r="L60" s="39">
        <f t="shared" ca="1" si="3"/>
        <v>9.4155740343836322E-2</v>
      </c>
      <c r="M60" s="62">
        <f t="shared" ca="1" si="2"/>
        <v>2.8989674983499792E-2</v>
      </c>
    </row>
    <row r="61" spans="12:13" x14ac:dyDescent="0.25">
      <c r="L61" s="39">
        <f t="shared" ca="1" si="3"/>
        <v>9.5155740343836323E-2</v>
      </c>
      <c r="M61" s="62">
        <f t="shared" ca="1" si="2"/>
        <v>2.9293701830970294E-2</v>
      </c>
    </row>
    <row r="62" spans="12:13" x14ac:dyDescent="0.25">
      <c r="L62" s="39">
        <f t="shared" ca="1" si="3"/>
        <v>9.6155740343836324E-2</v>
      </c>
      <c r="M62" s="62">
        <f t="shared" ca="1" si="2"/>
        <v>2.9597154354267807E-2</v>
      </c>
    </row>
    <row r="63" spans="12:13" x14ac:dyDescent="0.25">
      <c r="L63" s="39">
        <f t="shared" ca="1" si="3"/>
        <v>9.7155740343836325E-2</v>
      </c>
      <c r="M63" s="62">
        <f t="shared" ca="1" si="2"/>
        <v>2.990005338212632E-2</v>
      </c>
    </row>
    <row r="64" spans="12:13" x14ac:dyDescent="0.25">
      <c r="L64" s="39">
        <f t="shared" ca="1" si="3"/>
        <v>9.8155740343836326E-2</v>
      </c>
      <c r="M64" s="62">
        <f t="shared" ca="1" si="2"/>
        <v>3.0202418712799887E-2</v>
      </c>
    </row>
    <row r="65" spans="12:13" x14ac:dyDescent="0.25">
      <c r="L65" s="39">
        <f t="shared" ca="1" si="3"/>
        <v>9.9155740343836327E-2</v>
      </c>
      <c r="M65" s="62">
        <f t="shared" ca="1" si="2"/>
        <v>3.0504269178964732E-2</v>
      </c>
    </row>
    <row r="66" spans="12:13" x14ac:dyDescent="0.25">
      <c r="L66" s="39">
        <f t="shared" ca="1" si="3"/>
        <v>0.10015574034383633</v>
      </c>
      <c r="M66" s="62">
        <f t="shared" ca="1" si="2"/>
        <v>3.0805622707648764E-2</v>
      </c>
    </row>
    <row r="67" spans="12:13" x14ac:dyDescent="0.25">
      <c r="L67" s="39">
        <f t="shared" ca="1" si="3"/>
        <v>0.10115574034383633</v>
      </c>
      <c r="M67" s="62">
        <f t="shared" ref="M67:M83" ca="1" si="4">H$3+SQRT(H$6)*SQRT(L67^2-H$9)</f>
        <v>3.1106496375637043E-2</v>
      </c>
    </row>
    <row r="68" spans="12:13" x14ac:dyDescent="0.25">
      <c r="L68" s="39">
        <f t="shared" ref="L68:L83" ca="1" si="5">L67+0.001</f>
        <v>0.10215574034383633</v>
      </c>
      <c r="M68" s="62">
        <f t="shared" ca="1" si="4"/>
        <v>3.1406906460755446E-2</v>
      </c>
    </row>
    <row r="69" spans="12:13" x14ac:dyDescent="0.25">
      <c r="L69" s="39">
        <f t="shared" ca="1" si="5"/>
        <v>0.10315574034383633</v>
      </c>
      <c r="M69" s="62">
        <f t="shared" ca="1" si="4"/>
        <v>3.1706868489393573E-2</v>
      </c>
    </row>
    <row r="70" spans="12:13" x14ac:dyDescent="0.25">
      <c r="L70" s="39">
        <f t="shared" ca="1" si="5"/>
        <v>0.10415574034383633</v>
      </c>
      <c r="M70" s="62">
        <f t="shared" ca="1" si="4"/>
        <v>3.2006397280591653E-2</v>
      </c>
    </row>
    <row r="71" spans="12:13" x14ac:dyDescent="0.25">
      <c r="L71" s="39">
        <f t="shared" ca="1" si="5"/>
        <v>0.10515574034383633</v>
      </c>
      <c r="M71" s="62">
        <f t="shared" ca="1" si="4"/>
        <v>3.2305506986983819E-2</v>
      </c>
    </row>
    <row r="72" spans="12:13" x14ac:dyDescent="0.25">
      <c r="L72" s="39">
        <f t="shared" ca="1" si="5"/>
        <v>0.10615574034383633</v>
      </c>
      <c r="M72" s="62">
        <f t="shared" ca="1" si="4"/>
        <v>3.2604211132861764E-2</v>
      </c>
    </row>
    <row r="73" spans="12:13" x14ac:dyDescent="0.25">
      <c r="L73" s="39">
        <f t="shared" ca="1" si="5"/>
        <v>0.10715574034383633</v>
      </c>
      <c r="M73" s="62">
        <f t="shared" ca="1" si="4"/>
        <v>3.2902522649597088E-2</v>
      </c>
    </row>
    <row r="74" spans="12:13" x14ac:dyDescent="0.25">
      <c r="L74" s="39">
        <f t="shared" ca="1" si="5"/>
        <v>0.10815574034383633</v>
      </c>
      <c r="M74" s="62">
        <f t="shared" ca="1" si="4"/>
        <v>3.3200453908638149E-2</v>
      </c>
    </row>
    <row r="75" spans="12:13" x14ac:dyDescent="0.25">
      <c r="L75" s="39">
        <f t="shared" ca="1" si="5"/>
        <v>0.10915574034383634</v>
      </c>
      <c r="M75" s="62">
        <f t="shared" ca="1" si="4"/>
        <v>3.3498016752276774E-2</v>
      </c>
    </row>
    <row r="76" spans="12:13" x14ac:dyDescent="0.25">
      <c r="L76" s="39">
        <f t="shared" ca="1" si="5"/>
        <v>0.11015574034383634</v>
      </c>
      <c r="M76" s="62">
        <f t="shared" ca="1" si="4"/>
        <v>3.379522252236232E-2</v>
      </c>
    </row>
    <row r="77" spans="12:13" x14ac:dyDescent="0.25">
      <c r="L77" s="39">
        <f t="shared" ca="1" si="5"/>
        <v>0.11115574034383634</v>
      </c>
      <c r="M77" s="62">
        <f t="shared" ca="1" si="4"/>
        <v>3.4092082087124151E-2</v>
      </c>
    </row>
    <row r="78" spans="12:13" x14ac:dyDescent="0.25">
      <c r="L78" s="39">
        <f t="shared" ca="1" si="5"/>
        <v>0.11215574034383634</v>
      </c>
      <c r="M78" s="62">
        <f t="shared" ca="1" si="4"/>
        <v>3.4388605866249186E-2</v>
      </c>
    </row>
    <row r="79" spans="12:13" x14ac:dyDescent="0.25">
      <c r="L79" s="39">
        <f t="shared" ca="1" si="5"/>
        <v>0.11315574034383634</v>
      </c>
      <c r="M79" s="62">
        <f t="shared" ca="1" si="4"/>
        <v>3.4684803854348079E-2</v>
      </c>
    </row>
    <row r="80" spans="12:13" x14ac:dyDescent="0.25">
      <c r="L80" s="39">
        <f t="shared" ca="1" si="5"/>
        <v>0.11415574034383634</v>
      </c>
      <c r="M80" s="62">
        <f t="shared" ca="1" si="4"/>
        <v>3.4980685642931747E-2</v>
      </c>
    </row>
    <row r="81" spans="12:13" x14ac:dyDescent="0.25">
      <c r="L81" s="39">
        <f t="shared" ca="1" si="5"/>
        <v>0.11515574034383634</v>
      </c>
      <c r="M81" s="62">
        <f t="shared" ca="1" si="4"/>
        <v>3.5276260441009614E-2</v>
      </c>
    </row>
    <row r="82" spans="12:13" x14ac:dyDescent="0.25">
      <c r="L82" s="39">
        <f t="shared" ca="1" si="5"/>
        <v>0.11615574034383634</v>
      </c>
      <c r="M82" s="62">
        <f t="shared" ca="1" si="4"/>
        <v>3.5571537094411139E-2</v>
      </c>
    </row>
    <row r="83" spans="12:13" x14ac:dyDescent="0.25">
      <c r="L83" s="39">
        <f t="shared" ca="1" si="5"/>
        <v>0.11715574034383634</v>
      </c>
      <c r="M83" s="62">
        <f t="shared" ca="1" si="4"/>
        <v>3.58665241039237E-2</v>
      </c>
    </row>
  </sheetData>
  <mergeCells count="2">
    <mergeCell ref="C1:E1"/>
    <mergeCell ref="L1:M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readme - investments</vt:lpstr>
      <vt:lpstr>Comparison of Investments</vt:lpstr>
      <vt:lpstr>readme - portfolio construction</vt:lpstr>
      <vt:lpstr>Stock Data</vt:lpstr>
      <vt:lpstr>Equally Weighted</vt:lpstr>
      <vt:lpstr>Build Your Own Portfolio</vt:lpstr>
      <vt:lpstr>Minimum Variance Portfolio</vt:lpstr>
      <vt:lpstr>Efficient Frontier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Remy Turpin</dc:creator>
  <cp:lastModifiedBy>TURPIN Remy</cp:lastModifiedBy>
  <dcterms:created xsi:type="dcterms:W3CDTF">2024-11-01T12:39:03Z</dcterms:created>
  <dcterms:modified xsi:type="dcterms:W3CDTF">2025-02-09T16:47:49Z</dcterms:modified>
</cp:coreProperties>
</file>